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5aaaf459011b9ad/Desktop/Data Analytics Portfolio/"/>
    </mc:Choice>
  </mc:AlternateContent>
  <xr:revisionPtr revIDLastSave="25" documentId="11_C3A6951E289724D20B1166DA0EFD072AD6555753" xr6:coauthVersionLast="47" xr6:coauthVersionMax="47" xr10:uidLastSave="{FF46818A-1380-416D-94C5-A5D75713C865}"/>
  <bookViews>
    <workbookView xWindow="16010" yWindow="1400" windowWidth="18780" windowHeight="17070" tabRatio="500" firstSheet="1" activeTab="2" xr2:uid="{00000000-000D-0000-FFFF-FFFF00000000}"/>
  </bookViews>
  <sheets>
    <sheet name="SFY2022 Budget Reference" sheetId="1" r:id="rId1"/>
    <sheet name="Reconciliation Report" sheetId="2" r:id="rId2"/>
    <sheet name="Findings &amp; Resolution Log" sheetId="3" r:id="rId3"/>
    <sheet name="Summary 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8" i="2" l="1"/>
  <c r="D18" i="2"/>
  <c r="C18" i="2"/>
  <c r="B18" i="2"/>
  <c r="K17" i="2"/>
  <c r="L17" i="2" s="1"/>
  <c r="J17" i="2"/>
  <c r="H17" i="2"/>
  <c r="I17" i="2" s="1"/>
  <c r="D17" i="2"/>
  <c r="E17" i="2" s="1"/>
  <c r="K16" i="2"/>
  <c r="L16" i="2" s="1"/>
  <c r="J16" i="2"/>
  <c r="H16" i="2"/>
  <c r="I16" i="2" s="1"/>
  <c r="E16" i="2"/>
  <c r="D16" i="2"/>
  <c r="K15" i="2"/>
  <c r="L15" i="2" s="1"/>
  <c r="J15" i="2"/>
  <c r="H15" i="2"/>
  <c r="I15" i="2" s="1"/>
  <c r="D15" i="2"/>
  <c r="E15" i="2" s="1"/>
  <c r="K14" i="2"/>
  <c r="L14" i="2" s="1"/>
  <c r="J14" i="2"/>
  <c r="H14" i="2"/>
  <c r="I14" i="2" s="1"/>
  <c r="E14" i="2"/>
  <c r="D14" i="2"/>
  <c r="K13" i="2"/>
  <c r="L13" i="2" s="1"/>
  <c r="J13" i="2"/>
  <c r="I13" i="2"/>
  <c r="H13" i="2"/>
  <c r="D13" i="2"/>
  <c r="E13" i="2" s="1"/>
  <c r="K12" i="2"/>
  <c r="L12" i="2" s="1"/>
  <c r="J12" i="2"/>
  <c r="I12" i="2"/>
  <c r="H12" i="2"/>
  <c r="D12" i="2"/>
  <c r="E12" i="2" s="1"/>
  <c r="K11" i="2"/>
  <c r="L11" i="2" s="1"/>
  <c r="J11" i="2"/>
  <c r="H11" i="2"/>
  <c r="I11" i="2" s="1"/>
  <c r="D11" i="2"/>
  <c r="E11" i="2" s="1"/>
  <c r="K10" i="2"/>
  <c r="L10" i="2" s="1"/>
  <c r="J10" i="2"/>
  <c r="H10" i="2"/>
  <c r="I10" i="2" s="1"/>
  <c r="D10" i="2"/>
  <c r="E10" i="2" s="1"/>
  <c r="K9" i="2"/>
  <c r="L9" i="2" s="1"/>
  <c r="J9" i="2"/>
  <c r="H9" i="2"/>
  <c r="I9" i="2" s="1"/>
  <c r="E9" i="2"/>
  <c r="D9" i="2"/>
  <c r="L8" i="2"/>
  <c r="K8" i="2"/>
  <c r="J8" i="2"/>
  <c r="H8" i="2"/>
  <c r="I8" i="2" s="1"/>
  <c r="D8" i="2"/>
  <c r="E8" i="2" s="1"/>
  <c r="L7" i="2"/>
  <c r="K7" i="2"/>
  <c r="J7" i="2"/>
  <c r="H7" i="2"/>
  <c r="I7" i="2" s="1"/>
  <c r="D7" i="2"/>
  <c r="E7" i="2" s="1"/>
  <c r="K6" i="2"/>
  <c r="L6" i="2" s="1"/>
  <c r="J6" i="2"/>
  <c r="H6" i="2"/>
  <c r="I6" i="2" s="1"/>
  <c r="E6" i="2"/>
  <c r="D6" i="2"/>
  <c r="K5" i="2"/>
  <c r="K18" i="2" s="1"/>
  <c r="J5" i="2"/>
  <c r="H5" i="2"/>
  <c r="I5" i="2" s="1"/>
  <c r="E5" i="2"/>
  <c r="D5" i="2"/>
  <c r="C18" i="1"/>
  <c r="B18" i="1"/>
  <c r="F17" i="1"/>
  <c r="E17" i="1"/>
  <c r="F16" i="1"/>
  <c r="E16" i="1"/>
  <c r="F15" i="1"/>
  <c r="E15" i="1"/>
  <c r="F14" i="1"/>
  <c r="E14" i="1"/>
  <c r="F13" i="1"/>
  <c r="E13" i="1"/>
  <c r="F12" i="1"/>
  <c r="E12" i="1"/>
  <c r="F11" i="1"/>
  <c r="E11" i="1"/>
  <c r="F10" i="1"/>
  <c r="E10" i="1"/>
  <c r="F9" i="1"/>
  <c r="E9" i="1"/>
  <c r="F8" i="1"/>
  <c r="E8" i="1"/>
  <c r="F7" i="1"/>
  <c r="E7" i="1"/>
  <c r="F6" i="1"/>
  <c r="E6" i="1"/>
  <c r="F5" i="1"/>
  <c r="F18" i="1" s="1"/>
  <c r="E5" i="1"/>
  <c r="E18" i="1" s="1"/>
  <c r="L5" i="2" l="1"/>
  <c r="L18" i="2" s="1"/>
</calcChain>
</file>

<file path=xl/sharedStrings.xml><?xml version="1.0" encoding="utf-8"?>
<sst xmlns="http://schemas.openxmlformats.org/spreadsheetml/2006/main" count="145" uniqueCount="110">
  <si>
    <t xml:space="preserve">  Vermont Medicaid SFY2022 — Budgeted PMPM Reference Data</t>
  </si>
  <si>
    <t xml:space="preserve">  Source: DVHA Annual PMPM Legislative Report (September 15, 2022) | Prepared by: Patrick Rooney, Financial Director IV</t>
  </si>
  <si>
    <t>NOTE: This report contains budgetary projections only ("As Passed"). Figures represent projected monthly average enrollment and gross PMPM costs per eligibility group. Premiums paused for Public Health Emergency — Premium PMPM = $0 for all groups. Source data is reproduced verbatim from the official DVHA legislative report.</t>
  </si>
  <si>
    <t>Medicaid Eligibility Group (MEG)</t>
  </si>
  <si>
    <t>Avg Monthly
Enrollment</t>
  </si>
  <si>
    <t>Gross PMPM ($)</t>
  </si>
  <si>
    <t>Premium PMPM ($)</t>
  </si>
  <si>
    <t>Net PMPM ($)</t>
  </si>
  <si>
    <t>Annual Budget Est. ($)</t>
  </si>
  <si>
    <t>ABD Adult</t>
  </si>
  <si>
    <t>ABD Dual</t>
  </si>
  <si>
    <t>General Adult</t>
  </si>
  <si>
    <t>New Adult Childless</t>
  </si>
  <si>
    <t>New Adult w/Child</t>
  </si>
  <si>
    <t>Vermont Premium Assist.</t>
  </si>
  <si>
    <t>Vermont Cost Sharing</t>
  </si>
  <si>
    <t>ABD Child</t>
  </si>
  <si>
    <t>General Child</t>
  </si>
  <si>
    <t>Underinsured Child</t>
  </si>
  <si>
    <t>CHIP</t>
  </si>
  <si>
    <t>Pharmacy Only</t>
  </si>
  <si>
    <t>Choices for Care</t>
  </si>
  <si>
    <t>TOTAL / WEIGHTED AVG</t>
  </si>
  <si>
    <t>—</t>
  </si>
  <si>
    <t xml:space="preserve">  Vermont Medicaid SFY2022 — Budget vs. Actual PMPM Reconciliation</t>
  </si>
  <si>
    <t xml:space="preserve">  Gainwell Technologies | Prepared by: Graham Pinti | Variance Threshold: &gt;2.0% flagged for review</t>
  </si>
  <si>
    <t>MEG</t>
  </si>
  <si>
    <t>Budget
Enrollment</t>
  </si>
  <si>
    <t>Actual
Enrollment</t>
  </si>
  <si>
    <t>Enroll.
Variance</t>
  </si>
  <si>
    <t>Enroll.
Var %</t>
  </si>
  <si>
    <t>Budget
PMPM ($)</t>
  </si>
  <si>
    <t>Actual
PMPM ($)</t>
  </si>
  <si>
    <t>PMPM
Variance ($)</t>
  </si>
  <si>
    <t>PMPM
Var %</t>
  </si>
  <si>
    <t>Budget
Ann. Cost ($)</t>
  </si>
  <si>
    <t>Actual
Ann. Cost ($)</t>
  </si>
  <si>
    <t>Cost
Impact ($)</t>
  </si>
  <si>
    <t>TOTALS</t>
  </si>
  <si>
    <t xml:space="preserve">  Vermont Medicaid SFY2022 — Reconciliation Findings &amp; Resolution Log</t>
  </si>
  <si>
    <t xml:space="preserve">  Gainwell Technologies | Analyst: Graham Pinti | Items requiring investigation and documented resolution</t>
  </si>
  <si>
    <t>All flagged items (PMPM variance &gt;2.0% or enrollment variance &gt;1.0%) must be investigated and resolved before period close reporting to the State of Vermont.</t>
  </si>
  <si>
    <t>Variance Type</t>
  </si>
  <si>
    <t>Budget Figure</t>
  </si>
  <si>
    <t>Actual Figure</t>
  </si>
  <si>
    <t>Variance</t>
  </si>
  <si>
    <t>Variance %</t>
  </si>
  <si>
    <t>Finding &amp; Root Cause</t>
  </si>
  <si>
    <t>Resolution &amp; Status</t>
  </si>
  <si>
    <t>Enrollment</t>
  </si>
  <si>
    <t>+46</t>
  </si>
  <si>
    <t>+0.71%</t>
  </si>
  <si>
    <t>Actual enrollment exceeded projection by 46 members. Consistent with statewide trend of increased ABD enrollment post-PHE. No PMPM variance detected.</t>
  </si>
  <si>
    <t>RESOLVED — Variance within acceptable range (&lt;1%). Noted for actuarial review in next budget cycle. GP 9/15/22</t>
  </si>
  <si>
    <t>PMPM Cost</t>
  </si>
  <si>
    <t>$257.64</t>
  </si>
  <si>
    <t>$261.82</t>
  </si>
  <si>
    <t>+$4.18</t>
  </si>
  <si>
    <t>+1.62%</t>
  </si>
  <si>
    <t>Actual PMPM exceeded budget by $4.18 (1.62%). Likely driven by increased utilization of dual-eligible services and higher pharmacy costs in Q4 SFY2022. Enrollment matched projection.</t>
  </si>
  <si>
    <t>RESOLVED — Variance under 2.0% threshold. Flagged for monitoring in SFY2023 actuarial update. GP 9/15/22</t>
  </si>
  <si>
    <t>+302</t>
  </si>
  <si>
    <t>+0.84%</t>
  </si>
  <si>
    <t>Enrollment exceeded projection by 302 members. PHE continuous enrollment provisions prevented disenrollment of members who would otherwise have lost eligibility. Expected to normalize post-PHE unwinding.</t>
  </si>
  <si>
    <t>RESOLVED — PHE-related variance documented. AHS and JFO notified. Projection to be revised in next budget cycle. GP 9/15/22</t>
  </si>
  <si>
    <t>$404.75</t>
  </si>
  <si>
    <t>$398.63</t>
  </si>
  <si>
    <t>($6.12)</t>
  </si>
  <si>
    <t>(1.51%)</t>
  </si>
  <si>
    <t>Actual PMPM came in $6.12 below budget. Favorable variance attributable to lower-than-projected inpatient utilization and shift toward telehealth services with lower unit costs.</t>
  </si>
  <si>
    <t>RESOLVED — Favorable variance. No corrective action required. Documented for budget performance report. GP 9/15/22</t>
  </si>
  <si>
    <t>$1,068.01</t>
  </si>
  <si>
    <t>$1,092.47</t>
  </si>
  <si>
    <t>+$24.46</t>
  </si>
  <si>
    <t>+2.29%</t>
  </si>
  <si>
    <t>PMPM exceeded budget by $24.46 (2.29%) — above the 2.0% threshold. ABD Child population has high acuity and is sensitive to utilization changes. Increased long-term care and behavioral health claims identified as primary drivers.</t>
  </si>
  <si>
    <t>ESCALATED — Variance exceeds threshold. Referred to actuarial team for detailed claims analysis. Written response required from provider community. GP 9/15/22</t>
  </si>
  <si>
    <t>(43)</t>
  </si>
  <si>
    <t>(8.11%)</t>
  </si>
  <si>
    <t>Enrollment fell 43 members below projection (8.11% variance). Significant drop likely reflects transition of previously underinsured children to full Medicaid coverage under PHE continuous enrollment provisions.</t>
  </si>
  <si>
    <t>RESOLVED — PHE enrollment shift confirmed with eligibility team. Members confirmed enrolled in General Child MEG. No financial exposure. GP 9/15/22</t>
  </si>
  <si>
    <t>+125</t>
  </si>
  <si>
    <t>+2.72%</t>
  </si>
  <si>
    <t>Enrollment exceeded projection by 125 members (2.72%). Choices for Care is a high-cost HCBS waiver program. Additional enrollment has significant budget impact given $727.16 PMPM. Total annual cost impact approximately $1.09M above budget.</t>
  </si>
  <si>
    <t>ESCALATED — High-impact variance. Budget amendment request submitted to Finance and Management. DAIL notified. Monitoring monthly. GP 9/15/22</t>
  </si>
  <si>
    <t>LEGEND:   Red = ESCALATED (variance exceeds threshold, action required)   Yellow = RESOLVED (variance noted and documented, no further action)</t>
  </si>
  <si>
    <t xml:space="preserve">  Vermont Medicaid SFY2022 — Reconciliation Summary Dashboard</t>
  </si>
  <si>
    <t xml:space="preserve">  Gainwell Technologies | Auto-calculated from Reconciliation Report</t>
  </si>
  <si>
    <t>RECONCILIATION SUMMARY — SFY2022</t>
  </si>
  <si>
    <t>Metric</t>
  </si>
  <si>
    <t>Budget</t>
  </si>
  <si>
    <t>Actual</t>
  </si>
  <si>
    <t>Total MEGs Reviewed</t>
  </si>
  <si>
    <t>Total Enrolled Members (Avg Monthly)</t>
  </si>
  <si>
    <t>Total Annual Budget Estimate ($)</t>
  </si>
  <si>
    <t>MEGs with No Variance</t>
  </si>
  <si>
    <t>(7)</t>
  </si>
  <si>
    <t>MEGs Flagged for Review</t>
  </si>
  <si>
    <t>+7</t>
  </si>
  <si>
    <t>MEGs Escalated (&gt;Threshold)</t>
  </si>
  <si>
    <t>+2</t>
  </si>
  <si>
    <t>MEGs Resolved</t>
  </si>
  <si>
    <t>+5</t>
  </si>
  <si>
    <t>ESCALATED ITEMS REQUIRING ACTION</t>
  </si>
  <si>
    <t>PMPM +2.29% ($24.46 over budget)</t>
  </si>
  <si>
    <t>Referred to actuarial team — claims analysis in progress</t>
  </si>
  <si>
    <t>Enrollment +2.72% (+125 members, ~$1.09M annual impact)</t>
  </si>
  <si>
    <t>Budget amendment submitted — monitoring monthly</t>
  </si>
  <si>
    <t>RECONCILIATION PROCESS: Budgeted figures sourced from DVHA SFY2022 Annual PMPM Legislative Report. Actual figures simulated for demonstration purposes. Variances exceeding ±2.0% in PMPM or ±1.0% in enrollment are automatically flagged for review. All flagged items require investigation and documented resolution before period close.</t>
  </si>
  <si>
    <t>DATA SOURCE: DVHA SFY2022 Annual PMPM Legislative Report (September 15, 2022). Submitted by Andrea De La Bruere, Commissioner, Department of Vermont Health Access. Prepared by Patrick Rooney, Financial Director IV. Actual figures simulated for demonstration purposes. Analysis prepared by Graham Pinti for portfolio 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</si>
</sst>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0"/>
    <numFmt numFmtId="166" formatCode="#,##0;\(#,##0\);\-"/>
    <numFmt numFmtId="167" formatCode="0.00%;\(0.00%\);\-"/>
    <numFmt numFmtId="168" formatCode="\$#,##0.00;&quot;($&quot;#,##0.00\);\-"/>
    <numFmt numFmtId="169" formatCode="\$#,##0;&quot;($&quot;#,##0\);\-"/>
  </numFmts>
  <fonts count="17" x14ac:knownFonts="1">
    <font>
      <sz val="11"/>
      <color theme="1"/>
      <name val="Calibri"/>
      <family val="2"/>
      <charset val="1"/>
    </font>
    <font>
      <b/>
      <sz val="13"/>
      <color rgb="FFFFFFFF"/>
      <name val="Arial"/>
      <charset val="1"/>
    </font>
    <font>
      <i/>
      <sz val="9"/>
      <color rgb="FF1F4E79"/>
      <name val="Arial"/>
      <charset val="1"/>
    </font>
    <font>
      <b/>
      <sz val="10"/>
      <color rgb="FFFFFFFF"/>
      <name val="Arial"/>
      <charset val="1"/>
    </font>
    <font>
      <sz val="10"/>
      <color rgb="FF000000"/>
      <name val="Arial"/>
      <charset val="1"/>
    </font>
    <font>
      <sz val="10"/>
      <color rgb="FF808080"/>
      <name val="Arial"/>
      <charset val="1"/>
    </font>
    <font>
      <sz val="10"/>
      <name val="Arial"/>
      <charset val="1"/>
    </font>
    <font>
      <sz val="10"/>
      <color rgb="FF375623"/>
      <name val="Arial"/>
      <charset val="1"/>
    </font>
    <font>
      <b/>
      <sz val="10"/>
      <color rgb="FFC00000"/>
      <name val="Arial"/>
      <charset val="1"/>
    </font>
    <font>
      <sz val="10"/>
      <color rgb="FFC00000"/>
      <name val="Arial"/>
      <charset val="1"/>
    </font>
    <font>
      <b/>
      <sz val="10"/>
      <color rgb="FF375623"/>
      <name val="Arial"/>
      <charset val="1"/>
    </font>
    <font>
      <sz val="10"/>
      <color rgb="FF843C0C"/>
      <name val="Arial"/>
      <charset val="1"/>
    </font>
    <font>
      <i/>
      <sz val="9"/>
      <color rgb="FFC00000"/>
      <name val="Arial"/>
      <charset val="1"/>
    </font>
    <font>
      <b/>
      <sz val="10"/>
      <color rgb="FF000000"/>
      <name val="Arial"/>
      <charset val="1"/>
    </font>
    <font>
      <b/>
      <sz val="11"/>
      <color rgb="FFFFFFFF"/>
      <name val="Arial"/>
      <charset val="1"/>
    </font>
    <font>
      <b/>
      <sz val="10"/>
      <color rgb="FF1F4E79"/>
      <name val="Arial"/>
      <charset val="1"/>
    </font>
    <font>
      <i/>
      <sz val="8"/>
      <color rgb="FF595959"/>
      <name val="Arial"/>
      <charset val="1"/>
    </font>
  </fonts>
  <fills count="10">
    <fill>
      <patternFill patternType="none"/>
    </fill>
    <fill>
      <patternFill patternType="gray125"/>
    </fill>
    <fill>
      <patternFill patternType="solid">
        <fgColor rgb="FF1F4E79"/>
        <bgColor rgb="FF003366"/>
      </patternFill>
    </fill>
    <fill>
      <patternFill patternType="solid">
        <fgColor rgb="FFD6E4F0"/>
        <bgColor rgb="FFD9D9D9"/>
      </patternFill>
    </fill>
    <fill>
      <patternFill patternType="solid">
        <fgColor rgb="FFF2F2F2"/>
        <bgColor rgb="FFFFFFFF"/>
      </patternFill>
    </fill>
    <fill>
      <patternFill patternType="solid">
        <fgColor rgb="FF2E75B6"/>
        <bgColor rgb="FF0066CC"/>
      </patternFill>
    </fill>
    <fill>
      <patternFill patternType="solid">
        <fgColor rgb="FFFCE4D6"/>
        <bgColor rgb="FFFFF2CC"/>
      </patternFill>
    </fill>
    <fill>
      <patternFill patternType="solid">
        <fgColor rgb="FFFFF2CC"/>
        <bgColor rgb="FFFCE4D6"/>
      </patternFill>
    </fill>
    <fill>
      <patternFill patternType="solid">
        <fgColor rgb="FFBDD7EE"/>
        <bgColor rgb="FFD9D9D9"/>
      </patternFill>
    </fill>
    <fill>
      <patternFill patternType="solid">
        <fgColor rgb="FFC00000"/>
        <bgColor rgb="FF800000"/>
      </patternFill>
    </fill>
  </fills>
  <borders count="3">
    <border>
      <left/>
      <right/>
      <top/>
      <bottom/>
      <diagonal/>
    </border>
    <border>
      <left style="thin">
        <color rgb="FF2E75B6"/>
      </left>
      <right style="thin">
        <color rgb="FF2E75B6"/>
      </right>
      <top style="thin">
        <color rgb="FF2E75B6"/>
      </top>
      <bottom style="thin">
        <color rgb="FF2E75B6"/>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4">
    <xf numFmtId="0" fontId="0" fillId="0" borderId="0" xfId="0"/>
    <xf numFmtId="0" fontId="4" fillId="6" borderId="2" xfId="0" applyFont="1" applyFill="1" applyBorder="1" applyAlignment="1">
      <alignment horizontal="left" vertical="center"/>
    </xf>
    <xf numFmtId="0" fontId="3" fillId="2" borderId="1" xfId="0" applyFont="1" applyFill="1" applyBorder="1" applyAlignment="1">
      <alignment horizontal="center" vertical="center" wrapText="1"/>
    </xf>
    <xf numFmtId="0" fontId="4" fillId="0" borderId="2" xfId="0" applyFont="1" applyBorder="1" applyAlignment="1">
      <alignment horizontal="left" vertical="center"/>
    </xf>
    <xf numFmtId="3" fontId="4" fillId="0" borderId="2" xfId="0" applyNumberFormat="1" applyFont="1" applyBorder="1" applyAlignment="1">
      <alignment horizontal="right" vertical="center"/>
    </xf>
    <xf numFmtId="164" fontId="4" fillId="0" borderId="2" xfId="0" applyNumberFormat="1" applyFont="1" applyBorder="1" applyAlignment="1">
      <alignment horizontal="right" vertical="center"/>
    </xf>
    <xf numFmtId="164" fontId="5" fillId="0" borderId="2" xfId="0" applyNumberFormat="1" applyFont="1" applyBorder="1" applyAlignment="1">
      <alignment horizontal="right" vertical="center"/>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0" fontId="4" fillId="4" borderId="2" xfId="0" applyFont="1" applyFill="1" applyBorder="1" applyAlignment="1">
      <alignment horizontal="left" vertical="center"/>
    </xf>
    <xf numFmtId="3" fontId="4" fillId="4" borderId="2" xfId="0" applyNumberFormat="1" applyFont="1" applyFill="1" applyBorder="1" applyAlignment="1">
      <alignment horizontal="right" vertical="center"/>
    </xf>
    <xf numFmtId="164" fontId="4" fillId="4" borderId="2" xfId="0" applyNumberFormat="1" applyFont="1" applyFill="1" applyBorder="1" applyAlignment="1">
      <alignment horizontal="right" vertical="center"/>
    </xf>
    <xf numFmtId="164" fontId="5" fillId="4" borderId="2" xfId="0" applyNumberFormat="1" applyFont="1" applyFill="1" applyBorder="1" applyAlignment="1">
      <alignment horizontal="right" vertical="center"/>
    </xf>
    <xf numFmtId="164" fontId="6" fillId="4" borderId="2" xfId="0" applyNumberFormat="1" applyFont="1" applyFill="1" applyBorder="1" applyAlignment="1">
      <alignment horizontal="right"/>
    </xf>
    <xf numFmtId="165" fontId="6" fillId="4" borderId="2" xfId="0" applyNumberFormat="1" applyFont="1" applyFill="1" applyBorder="1" applyAlignment="1">
      <alignment horizontal="right"/>
    </xf>
    <xf numFmtId="0" fontId="3" fillId="5" borderId="1" xfId="0" applyFont="1" applyFill="1" applyBorder="1" applyAlignment="1">
      <alignment horizontal="left" vertical="center"/>
    </xf>
    <xf numFmtId="3" fontId="3" fillId="5" borderId="1" xfId="0" applyNumberFormat="1" applyFont="1" applyFill="1" applyBorder="1" applyAlignment="1">
      <alignment horizontal="right" vertical="center"/>
    </xf>
    <xf numFmtId="164" fontId="3" fillId="5" borderId="1" xfId="0" applyNumberFormat="1" applyFont="1" applyFill="1" applyBorder="1" applyAlignment="1">
      <alignment horizontal="right" vertical="center"/>
    </xf>
    <xf numFmtId="0" fontId="3" fillId="5" borderId="1" xfId="0" applyFont="1" applyFill="1" applyBorder="1" applyAlignment="1">
      <alignment horizontal="right" vertical="center"/>
    </xf>
    <xf numFmtId="165" fontId="3" fillId="5" borderId="1" xfId="0" applyNumberFormat="1" applyFont="1" applyFill="1" applyBorder="1" applyAlignment="1">
      <alignment horizontal="right" vertical="center"/>
    </xf>
    <xf numFmtId="166" fontId="7" fillId="0" borderId="2" xfId="0" applyNumberFormat="1" applyFont="1" applyBorder="1" applyAlignment="1">
      <alignment horizontal="right"/>
    </xf>
    <xf numFmtId="167" fontId="4" fillId="0" borderId="2" xfId="0" applyNumberFormat="1" applyFont="1" applyBorder="1" applyAlignment="1">
      <alignment horizontal="right"/>
    </xf>
    <xf numFmtId="168" fontId="4" fillId="0" borderId="2" xfId="0" applyNumberFormat="1" applyFont="1" applyBorder="1" applyAlignment="1">
      <alignment horizontal="right"/>
    </xf>
    <xf numFmtId="169" fontId="8" fillId="0" borderId="2" xfId="0" applyNumberFormat="1" applyFont="1" applyBorder="1" applyAlignment="1">
      <alignment horizontal="right"/>
    </xf>
    <xf numFmtId="166" fontId="4" fillId="0" borderId="2" xfId="0" applyNumberFormat="1" applyFont="1" applyBorder="1" applyAlignment="1">
      <alignment horizontal="right"/>
    </xf>
    <xf numFmtId="168" fontId="9" fillId="0" borderId="2" xfId="0" applyNumberFormat="1" applyFont="1" applyBorder="1" applyAlignment="1">
      <alignment horizontal="right"/>
    </xf>
    <xf numFmtId="169" fontId="10" fillId="0" borderId="2" xfId="0" applyNumberFormat="1" applyFont="1" applyBorder="1" applyAlignment="1">
      <alignment horizontal="right"/>
    </xf>
    <xf numFmtId="168" fontId="7" fillId="0" borderId="2" xfId="0" applyNumberFormat="1" applyFont="1" applyBorder="1" applyAlignment="1">
      <alignment horizontal="right"/>
    </xf>
    <xf numFmtId="3" fontId="4" fillId="6" borderId="2" xfId="0" applyNumberFormat="1" applyFont="1" applyFill="1" applyBorder="1" applyAlignment="1">
      <alignment horizontal="right" vertical="center"/>
    </xf>
    <xf numFmtId="166" fontId="4" fillId="6" borderId="2" xfId="0" applyNumberFormat="1" applyFont="1" applyFill="1" applyBorder="1" applyAlignment="1">
      <alignment horizontal="right"/>
    </xf>
    <xf numFmtId="167" fontId="4" fillId="6" borderId="2" xfId="0" applyNumberFormat="1" applyFont="1" applyFill="1" applyBorder="1" applyAlignment="1">
      <alignment horizontal="right"/>
    </xf>
    <xf numFmtId="164" fontId="4" fillId="6" borderId="2" xfId="0" applyNumberFormat="1" applyFont="1" applyFill="1" applyBorder="1" applyAlignment="1">
      <alignment horizontal="right" vertical="center"/>
    </xf>
    <xf numFmtId="168" fontId="9" fillId="6" borderId="2" xfId="0" applyNumberFormat="1" applyFont="1" applyFill="1" applyBorder="1" applyAlignment="1">
      <alignment horizontal="right"/>
    </xf>
    <xf numFmtId="167" fontId="9" fillId="6" borderId="2" xfId="0" applyNumberFormat="1" applyFont="1" applyFill="1" applyBorder="1" applyAlignment="1">
      <alignment horizontal="right"/>
    </xf>
    <xf numFmtId="165" fontId="6" fillId="6" borderId="2" xfId="0" applyNumberFormat="1" applyFont="1" applyFill="1" applyBorder="1" applyAlignment="1">
      <alignment horizontal="right"/>
    </xf>
    <xf numFmtId="169" fontId="8" fillId="6" borderId="2" xfId="0" applyNumberFormat="1" applyFont="1" applyFill="1" applyBorder="1" applyAlignment="1">
      <alignment horizontal="right"/>
    </xf>
    <xf numFmtId="166" fontId="9" fillId="6" borderId="2" xfId="0" applyNumberFormat="1" applyFont="1" applyFill="1" applyBorder="1" applyAlignment="1">
      <alignment horizontal="right"/>
    </xf>
    <xf numFmtId="168" fontId="4" fillId="6" borderId="2" xfId="0" applyNumberFormat="1" applyFont="1" applyFill="1" applyBorder="1" applyAlignment="1">
      <alignment horizontal="right"/>
    </xf>
    <xf numFmtId="169" fontId="10" fillId="6" borderId="2" xfId="0" applyNumberFormat="1" applyFont="1" applyFill="1" applyBorder="1" applyAlignment="1">
      <alignment horizontal="right"/>
    </xf>
    <xf numFmtId="166" fontId="7" fillId="6" borderId="2" xfId="0" applyNumberFormat="1" applyFont="1" applyFill="1" applyBorder="1" applyAlignment="1">
      <alignment horizontal="right"/>
    </xf>
    <xf numFmtId="167" fontId="11" fillId="6" borderId="2" xfId="0" applyNumberFormat="1" applyFont="1" applyFill="1" applyBorder="1" applyAlignment="1">
      <alignment horizontal="right"/>
    </xf>
    <xf numFmtId="166" fontId="3" fillId="5" borderId="1" xfId="0" applyNumberFormat="1" applyFont="1" applyFill="1" applyBorder="1" applyAlignment="1">
      <alignment horizontal="right" vertical="center"/>
    </xf>
    <xf numFmtId="0" fontId="3" fillId="5" borderId="1" xfId="0" applyFont="1" applyFill="1" applyBorder="1" applyAlignment="1">
      <alignment horizontal="center"/>
    </xf>
    <xf numFmtId="169" fontId="3" fillId="5" borderId="1" xfId="0" applyNumberFormat="1" applyFont="1" applyFill="1" applyBorder="1" applyAlignment="1">
      <alignment horizontal="right" vertical="center"/>
    </xf>
    <xf numFmtId="0" fontId="4" fillId="7" borderId="2" xfId="0" applyFont="1" applyFill="1" applyBorder="1" applyAlignment="1">
      <alignment horizontal="left" vertical="center"/>
    </xf>
    <xf numFmtId="0" fontId="4" fillId="7" borderId="2" xfId="0" applyFont="1" applyFill="1" applyBorder="1" applyAlignment="1">
      <alignment horizontal="center" vertical="center"/>
    </xf>
    <xf numFmtId="0" fontId="4" fillId="7" borderId="2" xfId="0" applyFont="1" applyFill="1" applyBorder="1" applyAlignment="1">
      <alignment horizontal="right" vertical="center"/>
    </xf>
    <xf numFmtId="0" fontId="9" fillId="7" borderId="2" xfId="0" applyFont="1" applyFill="1" applyBorder="1" applyAlignment="1">
      <alignment horizontal="right" vertical="center"/>
    </xf>
    <xf numFmtId="0" fontId="7" fillId="7" borderId="2" xfId="0" applyFont="1" applyFill="1" applyBorder="1" applyAlignment="1">
      <alignment horizontal="right" vertical="center"/>
    </xf>
    <xf numFmtId="0" fontId="13" fillId="6" borderId="2" xfId="0" applyFont="1" applyFill="1" applyBorder="1" applyAlignment="1">
      <alignment horizontal="left" vertical="center"/>
    </xf>
    <xf numFmtId="0" fontId="4" fillId="6" borderId="2" xfId="0" applyFont="1" applyFill="1" applyBorder="1" applyAlignment="1">
      <alignment horizontal="center" vertical="center"/>
    </xf>
    <xf numFmtId="0" fontId="4" fillId="6" borderId="2" xfId="0" applyFont="1" applyFill="1" applyBorder="1" applyAlignment="1">
      <alignment horizontal="right" vertical="center"/>
    </xf>
    <xf numFmtId="0" fontId="9" fillId="6" borderId="2" xfId="0" applyFont="1" applyFill="1" applyBorder="1" applyAlignment="1">
      <alignment horizontal="right" vertical="center"/>
    </xf>
    <xf numFmtId="0" fontId="9" fillId="6" borderId="2" xfId="0" applyFont="1" applyFill="1" applyBorder="1" applyAlignment="1">
      <alignment horizontal="left" vertical="center"/>
    </xf>
    <xf numFmtId="0" fontId="15" fillId="8" borderId="1" xfId="0" applyFont="1" applyFill="1" applyBorder="1" applyAlignment="1">
      <alignment horizontal="center" vertical="center" wrapText="1"/>
    </xf>
    <xf numFmtId="0" fontId="13" fillId="0" borderId="2" xfId="0" applyFont="1" applyBorder="1" applyAlignment="1">
      <alignment horizontal="left" vertical="center"/>
    </xf>
    <xf numFmtId="0" fontId="4" fillId="0" borderId="2" xfId="0" applyFont="1" applyBorder="1" applyAlignment="1">
      <alignment horizontal="right" vertical="center"/>
    </xf>
    <xf numFmtId="0" fontId="4" fillId="0" borderId="2" xfId="0" applyFont="1" applyBorder="1" applyAlignment="1">
      <alignment horizontal="center" vertical="center"/>
    </xf>
    <xf numFmtId="3" fontId="4" fillId="0" borderId="2" xfId="0" applyNumberFormat="1" applyFont="1" applyBorder="1" applyAlignment="1">
      <alignment horizontal="center" vertical="center"/>
    </xf>
    <xf numFmtId="0" fontId="9" fillId="0" borderId="2" xfId="0" applyFont="1" applyBorder="1" applyAlignment="1">
      <alignment horizontal="center" vertical="center"/>
    </xf>
    <xf numFmtId="0" fontId="7" fillId="0" borderId="2" xfId="0" applyFont="1" applyBorder="1" applyAlignment="1">
      <alignment horizontal="center"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12" fillId="6" borderId="0" xfId="0" applyFont="1" applyFill="1" applyAlignment="1">
      <alignment horizontal="left" vertical="center"/>
    </xf>
    <xf numFmtId="0" fontId="2" fillId="3" borderId="0" xfId="0" applyFont="1" applyFill="1" applyAlignment="1">
      <alignment horizontal="left" vertical="center" wrapText="1"/>
    </xf>
    <xf numFmtId="0" fontId="4" fillId="6" borderId="2" xfId="0" applyFont="1" applyFill="1" applyBorder="1" applyAlignment="1">
      <alignment horizontal="left" vertical="center"/>
    </xf>
    <xf numFmtId="0" fontId="16" fillId="3" borderId="0" xfId="0" applyFont="1" applyFill="1" applyAlignment="1">
      <alignment horizontal="left" vertical="center" wrapText="1"/>
    </xf>
    <xf numFmtId="0" fontId="14" fillId="5" borderId="0" xfId="0" applyFont="1" applyFill="1" applyAlignment="1">
      <alignment horizontal="left" vertical="center"/>
    </xf>
    <xf numFmtId="0" fontId="3" fillId="9" borderId="0" xfId="0" applyFont="1" applyFill="1" applyAlignment="1">
      <alignment horizontal="left" vertical="center"/>
    </xf>
    <xf numFmtId="0" fontId="4" fillId="7"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0" fillId="0" borderId="0" xfId="0" applyAlignment="1">
      <alignment wrapText="1"/>
    </xf>
    <xf numFmtId="0" fontId="7" fillId="7" borderId="2" xfId="0" applyFont="1" applyFill="1" applyBorder="1" applyAlignment="1">
      <alignment horizontal="left" vertical="center" wrapText="1"/>
    </xf>
    <xf numFmtId="0" fontId="9" fillId="6"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2CC"/>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843C0C"/>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showGridLines="0" topLeftCell="A3" zoomScaleNormal="100" workbookViewId="0">
      <selection activeCell="A5" sqref="A5"/>
    </sheetView>
  </sheetViews>
  <sheetFormatPr defaultColWidth="8.6328125" defaultRowHeight="14.5" x14ac:dyDescent="0.35"/>
  <cols>
    <col min="1" max="1" width="30" customWidth="1"/>
    <col min="2" max="5" width="16" customWidth="1"/>
    <col min="6" max="6" width="22" customWidth="1"/>
  </cols>
  <sheetData>
    <row r="1" spans="1:6" ht="27.75" customHeight="1" x14ac:dyDescent="0.35">
      <c r="A1" s="61" t="s">
        <v>0</v>
      </c>
      <c r="B1" s="61"/>
      <c r="C1" s="61"/>
      <c r="D1" s="61"/>
      <c r="E1" s="61"/>
      <c r="F1" s="61"/>
    </row>
    <row r="2" spans="1:6" ht="15.75" customHeight="1" x14ac:dyDescent="0.35">
      <c r="A2" s="62" t="s">
        <v>1</v>
      </c>
      <c r="B2" s="62"/>
      <c r="C2" s="62"/>
      <c r="D2" s="62"/>
      <c r="E2" s="62"/>
      <c r="F2" s="62"/>
    </row>
    <row r="3" spans="1:6" ht="39.75" customHeight="1" x14ac:dyDescent="0.35">
      <c r="A3" s="64" t="s">
        <v>2</v>
      </c>
      <c r="B3" s="64"/>
      <c r="C3" s="64"/>
      <c r="D3" s="64"/>
      <c r="E3" s="64"/>
      <c r="F3" s="64"/>
    </row>
    <row r="4" spans="1:6" ht="30" customHeight="1" x14ac:dyDescent="0.35">
      <c r="A4" s="2" t="s">
        <v>3</v>
      </c>
      <c r="B4" s="2" t="s">
        <v>4</v>
      </c>
      <c r="C4" s="2" t="s">
        <v>5</v>
      </c>
      <c r="D4" s="2" t="s">
        <v>6</v>
      </c>
      <c r="E4" s="2" t="s">
        <v>7</v>
      </c>
      <c r="F4" s="2" t="s">
        <v>8</v>
      </c>
    </row>
    <row r="5" spans="1:6" x14ac:dyDescent="0.35">
      <c r="A5" s="3" t="s">
        <v>9</v>
      </c>
      <c r="B5" s="4">
        <v>6475</v>
      </c>
      <c r="C5" s="5">
        <v>764.19</v>
      </c>
      <c r="D5" s="6">
        <v>0</v>
      </c>
      <c r="E5" s="7">
        <f t="shared" ref="E5:E17" si="0">C5-D5</f>
        <v>764.19</v>
      </c>
      <c r="F5" s="8">
        <f t="shared" ref="F5:F17" si="1">B5*C5*12</f>
        <v>59377563</v>
      </c>
    </row>
    <row r="6" spans="1:6" x14ac:dyDescent="0.35">
      <c r="A6" s="9" t="s">
        <v>10</v>
      </c>
      <c r="B6" s="10">
        <v>17649</v>
      </c>
      <c r="C6" s="11">
        <v>257.64</v>
      </c>
      <c r="D6" s="12">
        <v>0</v>
      </c>
      <c r="E6" s="13">
        <f t="shared" si="0"/>
        <v>257.64</v>
      </c>
      <c r="F6" s="14">
        <f t="shared" si="1"/>
        <v>54565060.319999993</v>
      </c>
    </row>
    <row r="7" spans="1:6" x14ac:dyDescent="0.35">
      <c r="A7" s="3" t="s">
        <v>11</v>
      </c>
      <c r="B7" s="4">
        <v>10049</v>
      </c>
      <c r="C7" s="5">
        <v>502.44</v>
      </c>
      <c r="D7" s="6">
        <v>0</v>
      </c>
      <c r="E7" s="7">
        <f t="shared" si="0"/>
        <v>502.44</v>
      </c>
      <c r="F7" s="8">
        <f t="shared" si="1"/>
        <v>60588234.719999999</v>
      </c>
    </row>
    <row r="8" spans="1:6" x14ac:dyDescent="0.35">
      <c r="A8" s="9" t="s">
        <v>12</v>
      </c>
      <c r="B8" s="10">
        <v>35802</v>
      </c>
      <c r="C8" s="11">
        <v>470.11</v>
      </c>
      <c r="D8" s="12">
        <v>0</v>
      </c>
      <c r="E8" s="13">
        <f t="shared" si="0"/>
        <v>470.11</v>
      </c>
      <c r="F8" s="14">
        <f t="shared" si="1"/>
        <v>201970538.63999999</v>
      </c>
    </row>
    <row r="9" spans="1:6" x14ac:dyDescent="0.35">
      <c r="A9" s="3" t="s">
        <v>13</v>
      </c>
      <c r="B9" s="4">
        <v>22258</v>
      </c>
      <c r="C9" s="5">
        <v>404.75</v>
      </c>
      <c r="D9" s="6">
        <v>0</v>
      </c>
      <c r="E9" s="7">
        <f t="shared" si="0"/>
        <v>404.75</v>
      </c>
      <c r="F9" s="8">
        <f t="shared" si="1"/>
        <v>108107106</v>
      </c>
    </row>
    <row r="10" spans="1:6" x14ac:dyDescent="0.35">
      <c r="A10" s="9" t="s">
        <v>14</v>
      </c>
      <c r="B10" s="10">
        <v>15937</v>
      </c>
      <c r="C10" s="11">
        <v>29.36</v>
      </c>
      <c r="D10" s="12">
        <v>0</v>
      </c>
      <c r="E10" s="13">
        <f t="shared" si="0"/>
        <v>29.36</v>
      </c>
      <c r="F10" s="14">
        <f t="shared" si="1"/>
        <v>5614923.8399999999</v>
      </c>
    </row>
    <row r="11" spans="1:6" x14ac:dyDescent="0.35">
      <c r="A11" s="3" t="s">
        <v>15</v>
      </c>
      <c r="B11" s="4">
        <v>3236</v>
      </c>
      <c r="C11" s="5">
        <v>29.12</v>
      </c>
      <c r="D11" s="6">
        <v>0</v>
      </c>
      <c r="E11" s="7">
        <f t="shared" si="0"/>
        <v>29.12</v>
      </c>
      <c r="F11" s="8">
        <f t="shared" si="1"/>
        <v>1130787.8400000001</v>
      </c>
    </row>
    <row r="12" spans="1:6" x14ac:dyDescent="0.35">
      <c r="A12" s="9" t="s">
        <v>16</v>
      </c>
      <c r="B12" s="10">
        <v>1594</v>
      </c>
      <c r="C12" s="11">
        <v>1068.01</v>
      </c>
      <c r="D12" s="12">
        <v>0</v>
      </c>
      <c r="E12" s="13">
        <f t="shared" si="0"/>
        <v>1068.01</v>
      </c>
      <c r="F12" s="14">
        <f t="shared" si="1"/>
        <v>20428895.280000001</v>
      </c>
    </row>
    <row r="13" spans="1:6" x14ac:dyDescent="0.35">
      <c r="A13" s="3" t="s">
        <v>17</v>
      </c>
      <c r="B13" s="4">
        <v>59588</v>
      </c>
      <c r="C13" s="5">
        <v>224.4</v>
      </c>
      <c r="D13" s="6">
        <v>0</v>
      </c>
      <c r="E13" s="7">
        <f t="shared" si="0"/>
        <v>224.4</v>
      </c>
      <c r="F13" s="8">
        <f t="shared" si="1"/>
        <v>160458566.40000001</v>
      </c>
    </row>
    <row r="14" spans="1:6" x14ac:dyDescent="0.35">
      <c r="A14" s="9" t="s">
        <v>18</v>
      </c>
      <c r="B14" s="10">
        <v>530</v>
      </c>
      <c r="C14" s="11">
        <v>68.19</v>
      </c>
      <c r="D14" s="12">
        <v>0</v>
      </c>
      <c r="E14" s="13">
        <f t="shared" si="0"/>
        <v>68.19</v>
      </c>
      <c r="F14" s="14">
        <f t="shared" si="1"/>
        <v>433688.39999999997</v>
      </c>
    </row>
    <row r="15" spans="1:6" x14ac:dyDescent="0.35">
      <c r="A15" s="3" t="s">
        <v>19</v>
      </c>
      <c r="B15" s="4">
        <v>4374</v>
      </c>
      <c r="C15" s="5">
        <v>165.45</v>
      </c>
      <c r="D15" s="6">
        <v>0</v>
      </c>
      <c r="E15" s="7">
        <f t="shared" si="0"/>
        <v>165.45</v>
      </c>
      <c r="F15" s="8">
        <f t="shared" si="1"/>
        <v>8684139.5999999996</v>
      </c>
    </row>
    <row r="16" spans="1:6" x14ac:dyDescent="0.35">
      <c r="A16" s="9" t="s">
        <v>20</v>
      </c>
      <c r="B16" s="10">
        <v>9568</v>
      </c>
      <c r="C16" s="11">
        <v>47.5</v>
      </c>
      <c r="D16" s="12">
        <v>0</v>
      </c>
      <c r="E16" s="13">
        <f t="shared" si="0"/>
        <v>47.5</v>
      </c>
      <c r="F16" s="14">
        <f t="shared" si="1"/>
        <v>5453760</v>
      </c>
    </row>
    <row r="17" spans="1:6" x14ac:dyDescent="0.35">
      <c r="A17" s="3" t="s">
        <v>21</v>
      </c>
      <c r="B17" s="4">
        <v>4596</v>
      </c>
      <c r="C17" s="5">
        <v>727.16</v>
      </c>
      <c r="D17" s="6">
        <v>0</v>
      </c>
      <c r="E17" s="7">
        <f t="shared" si="0"/>
        <v>727.16</v>
      </c>
      <c r="F17" s="8">
        <f t="shared" si="1"/>
        <v>40104328.32</v>
      </c>
    </row>
    <row r="18" spans="1:6" ht="18" customHeight="1" x14ac:dyDescent="0.35">
      <c r="A18" s="15" t="s">
        <v>22</v>
      </c>
      <c r="B18" s="16">
        <f>SUM(B5:B17)</f>
        <v>191656</v>
      </c>
      <c r="C18" s="17">
        <f>SUMPRODUCT(B5:B17,C5:C17)/SUM(B5:B17)</f>
        <v>316.06871702425178</v>
      </c>
      <c r="D18" s="18" t="s">
        <v>23</v>
      </c>
      <c r="E18" s="17">
        <f>SUMPRODUCT(B5:B17,E5:E17)/SUM(B5:B17)</f>
        <v>316.06871702425178</v>
      </c>
      <c r="F18" s="19">
        <f>SUM(F5:F17)</f>
        <v>726917592.3599999</v>
      </c>
    </row>
  </sheetData>
  <mergeCells count="3">
    <mergeCell ref="A1:F1"/>
    <mergeCell ref="A2:F2"/>
    <mergeCell ref="A3:F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8"/>
  <sheetViews>
    <sheetView showGridLines="0" zoomScaleNormal="100" workbookViewId="0">
      <pane ySplit="4" topLeftCell="A5" activePane="bottomLeft" state="frozen"/>
      <selection pane="bottomLeft" activeCell="J23" sqref="J23"/>
    </sheetView>
  </sheetViews>
  <sheetFormatPr defaultColWidth="8.6328125" defaultRowHeight="14.5" x14ac:dyDescent="0.35"/>
  <cols>
    <col min="1" max="1" width="28" customWidth="1"/>
    <col min="2" max="4" width="14" customWidth="1"/>
    <col min="5" max="5" width="11" customWidth="1"/>
    <col min="6" max="7" width="14" customWidth="1"/>
    <col min="8" max="8" width="16" customWidth="1"/>
    <col min="9" max="9" width="11" customWidth="1"/>
    <col min="10" max="12" width="18" customWidth="1"/>
  </cols>
  <sheetData>
    <row r="1" spans="1:12" ht="27.75" customHeight="1" x14ac:dyDescent="0.35">
      <c r="A1" s="61" t="s">
        <v>24</v>
      </c>
      <c r="B1" s="61"/>
      <c r="C1" s="61"/>
      <c r="D1" s="61"/>
      <c r="E1" s="61"/>
      <c r="F1" s="61"/>
      <c r="G1" s="61"/>
      <c r="H1" s="61"/>
      <c r="I1" s="61"/>
      <c r="J1" s="61"/>
      <c r="K1" s="61"/>
      <c r="L1" s="61"/>
    </row>
    <row r="2" spans="1:12" ht="15.75" customHeight="1" x14ac:dyDescent="0.35">
      <c r="A2" s="62" t="s">
        <v>25</v>
      </c>
      <c r="B2" s="62"/>
      <c r="C2" s="62"/>
      <c r="D2" s="62"/>
      <c r="E2" s="62"/>
      <c r="F2" s="62"/>
      <c r="G2" s="62"/>
      <c r="H2" s="62"/>
      <c r="I2" s="62"/>
      <c r="J2" s="62"/>
      <c r="K2" s="62"/>
      <c r="L2" s="62"/>
    </row>
    <row r="3" spans="1:12" ht="34.5" customHeight="1" x14ac:dyDescent="0.35">
      <c r="A3" s="64" t="s">
        <v>108</v>
      </c>
      <c r="B3" s="64"/>
      <c r="C3" s="64"/>
      <c r="D3" s="64"/>
      <c r="E3" s="64"/>
      <c r="F3" s="64"/>
      <c r="G3" s="64"/>
      <c r="H3" s="64"/>
      <c r="I3" s="64"/>
      <c r="J3" s="64"/>
      <c r="K3" s="64"/>
      <c r="L3" s="64"/>
    </row>
    <row r="4" spans="1:12" ht="30" customHeight="1" x14ac:dyDescent="0.35">
      <c r="A4" s="2" t="s">
        <v>26</v>
      </c>
      <c r="B4" s="2" t="s">
        <v>27</v>
      </c>
      <c r="C4" s="2" t="s">
        <v>28</v>
      </c>
      <c r="D4" s="2" t="s">
        <v>29</v>
      </c>
      <c r="E4" s="2" t="s">
        <v>30</v>
      </c>
      <c r="F4" s="2" t="s">
        <v>31</v>
      </c>
      <c r="G4" s="2" t="s">
        <v>32</v>
      </c>
      <c r="H4" s="2" t="s">
        <v>33</v>
      </c>
      <c r="I4" s="2" t="s">
        <v>34</v>
      </c>
      <c r="J4" s="2" t="s">
        <v>35</v>
      </c>
      <c r="K4" s="2" t="s">
        <v>36</v>
      </c>
      <c r="L4" s="2" t="s">
        <v>37</v>
      </c>
    </row>
    <row r="5" spans="1:12" ht="15.75" customHeight="1" x14ac:dyDescent="0.35">
      <c r="A5" s="3" t="s">
        <v>9</v>
      </c>
      <c r="B5" s="4">
        <v>6475</v>
      </c>
      <c r="C5" s="4">
        <v>6521</v>
      </c>
      <c r="D5" s="20">
        <f t="shared" ref="D5:D17" si="0">C5-B5</f>
        <v>46</v>
      </c>
      <c r="E5" s="21">
        <f t="shared" ref="E5:E17" si="1">D5/B5</f>
        <v>7.1042471042471042E-3</v>
      </c>
      <c r="F5" s="5">
        <v>764.19</v>
      </c>
      <c r="G5" s="5">
        <v>764.19</v>
      </c>
      <c r="H5" s="22">
        <f t="shared" ref="H5:H17" si="2">G5-F5</f>
        <v>0</v>
      </c>
      <c r="I5" s="21">
        <f t="shared" ref="I5:I17" si="3">H5/F5</f>
        <v>0</v>
      </c>
      <c r="J5" s="8">
        <f t="shared" ref="J5:J17" si="4">B5*F5*12</f>
        <v>59377563</v>
      </c>
      <c r="K5" s="8">
        <f t="shared" ref="K5:K17" si="5">C5*G5*12</f>
        <v>59799395.880000003</v>
      </c>
      <c r="L5" s="23">
        <f t="shared" ref="L5:L17" si="6">K5-J5</f>
        <v>421832.88000000268</v>
      </c>
    </row>
    <row r="6" spans="1:12" ht="15.75" customHeight="1" x14ac:dyDescent="0.35">
      <c r="A6" s="3" t="s">
        <v>10</v>
      </c>
      <c r="B6" s="4">
        <v>17649</v>
      </c>
      <c r="C6" s="4">
        <v>17649</v>
      </c>
      <c r="D6" s="24">
        <f t="shared" si="0"/>
        <v>0</v>
      </c>
      <c r="E6" s="21">
        <f t="shared" si="1"/>
        <v>0</v>
      </c>
      <c r="F6" s="5">
        <v>257.64</v>
      </c>
      <c r="G6" s="5">
        <v>261.82</v>
      </c>
      <c r="H6" s="25">
        <f t="shared" si="2"/>
        <v>4.1800000000000068</v>
      </c>
      <c r="I6" s="21">
        <f t="shared" si="3"/>
        <v>1.62241887905605E-2</v>
      </c>
      <c r="J6" s="8">
        <f t="shared" si="4"/>
        <v>54565060.319999993</v>
      </c>
      <c r="K6" s="8">
        <f t="shared" si="5"/>
        <v>55450334.159999996</v>
      </c>
      <c r="L6" s="23">
        <f t="shared" si="6"/>
        <v>885273.84000000358</v>
      </c>
    </row>
    <row r="7" spans="1:12" ht="15.75" customHeight="1" x14ac:dyDescent="0.35">
      <c r="A7" s="3" t="s">
        <v>11</v>
      </c>
      <c r="B7" s="4">
        <v>10049</v>
      </c>
      <c r="C7" s="4">
        <v>10049</v>
      </c>
      <c r="D7" s="24">
        <f t="shared" si="0"/>
        <v>0</v>
      </c>
      <c r="E7" s="21">
        <f t="shared" si="1"/>
        <v>0</v>
      </c>
      <c r="F7" s="5">
        <v>502.44</v>
      </c>
      <c r="G7" s="5">
        <v>502.44</v>
      </c>
      <c r="H7" s="22">
        <f t="shared" si="2"/>
        <v>0</v>
      </c>
      <c r="I7" s="21">
        <f t="shared" si="3"/>
        <v>0</v>
      </c>
      <c r="J7" s="8">
        <f t="shared" si="4"/>
        <v>60588234.719999999</v>
      </c>
      <c r="K7" s="8">
        <f t="shared" si="5"/>
        <v>60588234.719999999</v>
      </c>
      <c r="L7" s="26">
        <f t="shared" si="6"/>
        <v>0</v>
      </c>
    </row>
    <row r="8" spans="1:12" ht="15.75" customHeight="1" x14ac:dyDescent="0.35">
      <c r="A8" s="3" t="s">
        <v>12</v>
      </c>
      <c r="B8" s="4">
        <v>35802</v>
      </c>
      <c r="C8" s="4">
        <v>36104</v>
      </c>
      <c r="D8" s="20">
        <f t="shared" si="0"/>
        <v>302</v>
      </c>
      <c r="E8" s="21">
        <f t="shared" si="1"/>
        <v>8.4352829450868669E-3</v>
      </c>
      <c r="F8" s="5">
        <v>470.11</v>
      </c>
      <c r="G8" s="5">
        <v>470.11</v>
      </c>
      <c r="H8" s="22">
        <f t="shared" si="2"/>
        <v>0</v>
      </c>
      <c r="I8" s="21">
        <f t="shared" si="3"/>
        <v>0</v>
      </c>
      <c r="J8" s="8">
        <f t="shared" si="4"/>
        <v>201970538.63999999</v>
      </c>
      <c r="K8" s="8">
        <f t="shared" si="5"/>
        <v>203674217.28000003</v>
      </c>
      <c r="L8" s="23">
        <f t="shared" si="6"/>
        <v>1703678.6400000453</v>
      </c>
    </row>
    <row r="9" spans="1:12" ht="15.75" customHeight="1" x14ac:dyDescent="0.35">
      <c r="A9" s="3" t="s">
        <v>13</v>
      </c>
      <c r="B9" s="4">
        <v>22258</v>
      </c>
      <c r="C9" s="4">
        <v>22258</v>
      </c>
      <c r="D9" s="24">
        <f t="shared" si="0"/>
        <v>0</v>
      </c>
      <c r="E9" s="21">
        <f t="shared" si="1"/>
        <v>0</v>
      </c>
      <c r="F9" s="5">
        <v>404.75</v>
      </c>
      <c r="G9" s="5">
        <v>398.63</v>
      </c>
      <c r="H9" s="27">
        <f t="shared" si="2"/>
        <v>-6.1200000000000045</v>
      </c>
      <c r="I9" s="21">
        <f t="shared" si="3"/>
        <v>-1.5120444718962334E-2</v>
      </c>
      <c r="J9" s="8">
        <f t="shared" si="4"/>
        <v>108107106</v>
      </c>
      <c r="K9" s="8">
        <f t="shared" si="5"/>
        <v>106472478.47999999</v>
      </c>
      <c r="L9" s="26">
        <f t="shared" si="6"/>
        <v>-1634627.5200000107</v>
      </c>
    </row>
    <row r="10" spans="1:12" ht="15.75" customHeight="1" x14ac:dyDescent="0.35">
      <c r="A10" s="3" t="s">
        <v>14</v>
      </c>
      <c r="B10" s="4">
        <v>15937</v>
      </c>
      <c r="C10" s="4">
        <v>15937</v>
      </c>
      <c r="D10" s="24">
        <f t="shared" si="0"/>
        <v>0</v>
      </c>
      <c r="E10" s="21">
        <f t="shared" si="1"/>
        <v>0</v>
      </c>
      <c r="F10" s="5">
        <v>29.36</v>
      </c>
      <c r="G10" s="5">
        <v>29.36</v>
      </c>
      <c r="H10" s="22">
        <f t="shared" si="2"/>
        <v>0</v>
      </c>
      <c r="I10" s="21">
        <f t="shared" si="3"/>
        <v>0</v>
      </c>
      <c r="J10" s="8">
        <f t="shared" si="4"/>
        <v>5614923.8399999999</v>
      </c>
      <c r="K10" s="8">
        <f t="shared" si="5"/>
        <v>5614923.8399999999</v>
      </c>
      <c r="L10" s="26">
        <f t="shared" si="6"/>
        <v>0</v>
      </c>
    </row>
    <row r="11" spans="1:12" ht="15.75" customHeight="1" x14ac:dyDescent="0.35">
      <c r="A11" s="3" t="s">
        <v>15</v>
      </c>
      <c r="B11" s="4">
        <v>3236</v>
      </c>
      <c r="C11" s="4">
        <v>3236</v>
      </c>
      <c r="D11" s="24">
        <f t="shared" si="0"/>
        <v>0</v>
      </c>
      <c r="E11" s="21">
        <f t="shared" si="1"/>
        <v>0</v>
      </c>
      <c r="F11" s="5">
        <v>29.12</v>
      </c>
      <c r="G11" s="5">
        <v>29.12</v>
      </c>
      <c r="H11" s="22">
        <f t="shared" si="2"/>
        <v>0</v>
      </c>
      <c r="I11" s="21">
        <f t="shared" si="3"/>
        <v>0</v>
      </c>
      <c r="J11" s="8">
        <f t="shared" si="4"/>
        <v>1130787.8400000001</v>
      </c>
      <c r="K11" s="8">
        <f t="shared" si="5"/>
        <v>1130787.8400000001</v>
      </c>
      <c r="L11" s="26">
        <f t="shared" si="6"/>
        <v>0</v>
      </c>
    </row>
    <row r="12" spans="1:12" ht="15.75" customHeight="1" x14ac:dyDescent="0.35">
      <c r="A12" s="1" t="s">
        <v>16</v>
      </c>
      <c r="B12" s="28">
        <v>1594</v>
      </c>
      <c r="C12" s="28">
        <v>1594</v>
      </c>
      <c r="D12" s="29">
        <f t="shared" si="0"/>
        <v>0</v>
      </c>
      <c r="E12" s="30">
        <f t="shared" si="1"/>
        <v>0</v>
      </c>
      <c r="F12" s="31">
        <v>1068.01</v>
      </c>
      <c r="G12" s="31">
        <v>1092.47</v>
      </c>
      <c r="H12" s="32">
        <f t="shared" si="2"/>
        <v>24.460000000000036</v>
      </c>
      <c r="I12" s="33">
        <f t="shared" si="3"/>
        <v>2.2902407280830737E-2</v>
      </c>
      <c r="J12" s="34">
        <f t="shared" si="4"/>
        <v>20428895.280000001</v>
      </c>
      <c r="K12" s="34">
        <f t="shared" si="5"/>
        <v>20896766.16</v>
      </c>
      <c r="L12" s="35">
        <f t="shared" si="6"/>
        <v>467870.87999999896</v>
      </c>
    </row>
    <row r="13" spans="1:12" ht="15.75" customHeight="1" x14ac:dyDescent="0.35">
      <c r="A13" s="3" t="s">
        <v>17</v>
      </c>
      <c r="B13" s="4">
        <v>59588</v>
      </c>
      <c r="C13" s="4">
        <v>59588</v>
      </c>
      <c r="D13" s="24">
        <f t="shared" si="0"/>
        <v>0</v>
      </c>
      <c r="E13" s="21">
        <f t="shared" si="1"/>
        <v>0</v>
      </c>
      <c r="F13" s="5">
        <v>224.4</v>
      </c>
      <c r="G13" s="5">
        <v>224.4</v>
      </c>
      <c r="H13" s="22">
        <f t="shared" si="2"/>
        <v>0</v>
      </c>
      <c r="I13" s="21">
        <f t="shared" si="3"/>
        <v>0</v>
      </c>
      <c r="J13" s="8">
        <f t="shared" si="4"/>
        <v>160458566.40000001</v>
      </c>
      <c r="K13" s="8">
        <f t="shared" si="5"/>
        <v>160458566.40000001</v>
      </c>
      <c r="L13" s="26">
        <f t="shared" si="6"/>
        <v>0</v>
      </c>
    </row>
    <row r="14" spans="1:12" ht="15.75" customHeight="1" x14ac:dyDescent="0.35">
      <c r="A14" s="1" t="s">
        <v>18</v>
      </c>
      <c r="B14" s="28">
        <v>530</v>
      </c>
      <c r="C14" s="28">
        <v>487</v>
      </c>
      <c r="D14" s="36">
        <f t="shared" si="0"/>
        <v>-43</v>
      </c>
      <c r="E14" s="33">
        <f t="shared" si="1"/>
        <v>-8.1132075471698109E-2</v>
      </c>
      <c r="F14" s="31">
        <v>68.19</v>
      </c>
      <c r="G14" s="31">
        <v>68.19</v>
      </c>
      <c r="H14" s="37">
        <f t="shared" si="2"/>
        <v>0</v>
      </c>
      <c r="I14" s="30">
        <f t="shared" si="3"/>
        <v>0</v>
      </c>
      <c r="J14" s="34">
        <f t="shared" si="4"/>
        <v>433688.39999999997</v>
      </c>
      <c r="K14" s="34">
        <f t="shared" si="5"/>
        <v>398502.36</v>
      </c>
      <c r="L14" s="38">
        <f t="shared" si="6"/>
        <v>-35186.039999999979</v>
      </c>
    </row>
    <row r="15" spans="1:12" ht="15.75" customHeight="1" x14ac:dyDescent="0.35">
      <c r="A15" s="3" t="s">
        <v>19</v>
      </c>
      <c r="B15" s="4">
        <v>4374</v>
      </c>
      <c r="C15" s="4">
        <v>4374</v>
      </c>
      <c r="D15" s="24">
        <f t="shared" si="0"/>
        <v>0</v>
      </c>
      <c r="E15" s="21">
        <f t="shared" si="1"/>
        <v>0</v>
      </c>
      <c r="F15" s="5">
        <v>165.45</v>
      </c>
      <c r="G15" s="5">
        <v>165.45</v>
      </c>
      <c r="H15" s="22">
        <f t="shared" si="2"/>
        <v>0</v>
      </c>
      <c r="I15" s="21">
        <f t="shared" si="3"/>
        <v>0</v>
      </c>
      <c r="J15" s="8">
        <f t="shared" si="4"/>
        <v>8684139.5999999996</v>
      </c>
      <c r="K15" s="8">
        <f t="shared" si="5"/>
        <v>8684139.5999999996</v>
      </c>
      <c r="L15" s="26">
        <f t="shared" si="6"/>
        <v>0</v>
      </c>
    </row>
    <row r="16" spans="1:12" ht="15.75" customHeight="1" x14ac:dyDescent="0.35">
      <c r="A16" s="3" t="s">
        <v>20</v>
      </c>
      <c r="B16" s="4">
        <v>9568</v>
      </c>
      <c r="C16" s="4">
        <v>9568</v>
      </c>
      <c r="D16" s="24">
        <f t="shared" si="0"/>
        <v>0</v>
      </c>
      <c r="E16" s="21">
        <f t="shared" si="1"/>
        <v>0</v>
      </c>
      <c r="F16" s="5">
        <v>47.5</v>
      </c>
      <c r="G16" s="5">
        <v>47.5</v>
      </c>
      <c r="H16" s="22">
        <f t="shared" si="2"/>
        <v>0</v>
      </c>
      <c r="I16" s="21">
        <f t="shared" si="3"/>
        <v>0</v>
      </c>
      <c r="J16" s="8">
        <f t="shared" si="4"/>
        <v>5453760</v>
      </c>
      <c r="K16" s="8">
        <f t="shared" si="5"/>
        <v>5453760</v>
      </c>
      <c r="L16" s="26">
        <f t="shared" si="6"/>
        <v>0</v>
      </c>
    </row>
    <row r="17" spans="1:12" ht="15.75" customHeight="1" x14ac:dyDescent="0.35">
      <c r="A17" s="1" t="s">
        <v>21</v>
      </c>
      <c r="B17" s="28">
        <v>4596</v>
      </c>
      <c r="C17" s="28">
        <v>4721</v>
      </c>
      <c r="D17" s="39">
        <f t="shared" si="0"/>
        <v>125</v>
      </c>
      <c r="E17" s="40">
        <f t="shared" si="1"/>
        <v>2.7197563098346388E-2</v>
      </c>
      <c r="F17" s="31">
        <v>727.16</v>
      </c>
      <c r="G17" s="31">
        <v>727.16</v>
      </c>
      <c r="H17" s="37">
        <f t="shared" si="2"/>
        <v>0</v>
      </c>
      <c r="I17" s="30">
        <f t="shared" si="3"/>
        <v>0</v>
      </c>
      <c r="J17" s="34">
        <f t="shared" si="4"/>
        <v>40104328.32</v>
      </c>
      <c r="K17" s="34">
        <f t="shared" si="5"/>
        <v>41195068.32</v>
      </c>
      <c r="L17" s="35">
        <f t="shared" si="6"/>
        <v>1090740</v>
      </c>
    </row>
    <row r="18" spans="1:12" ht="18" customHeight="1" x14ac:dyDescent="0.35">
      <c r="A18" s="15" t="s">
        <v>38</v>
      </c>
      <c r="B18" s="16">
        <f>SUM(B5:B17)</f>
        <v>191656</v>
      </c>
      <c r="C18" s="16">
        <f>SUM(C5:C17)</f>
        <v>192086</v>
      </c>
      <c r="D18" s="41">
        <f>SUM(D5:D17)</f>
        <v>430</v>
      </c>
      <c r="E18" s="42" t="s">
        <v>23</v>
      </c>
      <c r="F18" s="42" t="s">
        <v>23</v>
      </c>
      <c r="G18" s="42" t="s">
        <v>23</v>
      </c>
      <c r="H18" s="42" t="s">
        <v>23</v>
      </c>
      <c r="I18" s="42" t="s">
        <v>23</v>
      </c>
      <c r="J18" s="19">
        <f>SUM(J5:J17)</f>
        <v>726917592.3599999</v>
      </c>
      <c r="K18" s="19">
        <f>SUM(K5:K17)</f>
        <v>729817175.04000008</v>
      </c>
      <c r="L18" s="43">
        <f>SUM(L5:L17)</f>
        <v>2899582.6800000397</v>
      </c>
    </row>
  </sheetData>
  <mergeCells count="3">
    <mergeCell ref="A1:L1"/>
    <mergeCell ref="A2:L2"/>
    <mergeCell ref="A3:L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showGridLines="0" tabSelected="1" topLeftCell="H1" zoomScaleNormal="100" workbookViewId="0">
      <selection activeCell="J16" sqref="J16"/>
    </sheetView>
  </sheetViews>
  <sheetFormatPr defaultColWidth="8.6328125" defaultRowHeight="14.5" x14ac:dyDescent="0.35"/>
  <cols>
    <col min="1" max="1" width="28" customWidth="1"/>
    <col min="2" max="2" width="18" customWidth="1"/>
    <col min="3" max="5" width="16" customWidth="1"/>
    <col min="6" max="6" width="12" customWidth="1"/>
    <col min="7" max="7" width="66.36328125" style="71" customWidth="1"/>
    <col min="8" max="8" width="104.36328125" style="71" customWidth="1"/>
  </cols>
  <sheetData>
    <row r="1" spans="1:8" ht="27.75" customHeight="1" x14ac:dyDescent="0.35">
      <c r="A1" s="61" t="s">
        <v>39</v>
      </c>
      <c r="B1" s="61"/>
      <c r="C1" s="61"/>
      <c r="D1" s="61"/>
      <c r="E1" s="61"/>
      <c r="F1" s="61"/>
      <c r="G1" s="61"/>
      <c r="H1" s="61"/>
    </row>
    <row r="2" spans="1:8" ht="15.75" customHeight="1" x14ac:dyDescent="0.35">
      <c r="A2" s="62" t="s">
        <v>40</v>
      </c>
      <c r="B2" s="62"/>
      <c r="C2" s="62"/>
      <c r="D2" s="62"/>
      <c r="E2" s="62"/>
      <c r="F2" s="62"/>
      <c r="G2" s="62"/>
      <c r="H2" s="62"/>
    </row>
    <row r="3" spans="1:8" ht="15.75" customHeight="1" x14ac:dyDescent="0.35">
      <c r="A3" s="63" t="s">
        <v>41</v>
      </c>
      <c r="B3" s="63"/>
      <c r="C3" s="63"/>
      <c r="D3" s="63"/>
      <c r="E3" s="63"/>
      <c r="F3" s="63"/>
      <c r="G3" s="63"/>
      <c r="H3" s="63"/>
    </row>
    <row r="4" spans="1:8" ht="19.5" customHeight="1" x14ac:dyDescent="0.35">
      <c r="A4" s="2" t="s">
        <v>26</v>
      </c>
      <c r="B4" s="2" t="s">
        <v>42</v>
      </c>
      <c r="C4" s="2" t="s">
        <v>43</v>
      </c>
      <c r="D4" s="2" t="s">
        <v>44</v>
      </c>
      <c r="E4" s="2" t="s">
        <v>45</v>
      </c>
      <c r="F4" s="2" t="s">
        <v>46</v>
      </c>
      <c r="G4" s="2" t="s">
        <v>47</v>
      </c>
      <c r="H4" s="2" t="s">
        <v>48</v>
      </c>
    </row>
    <row r="5" spans="1:8" ht="60" customHeight="1" x14ac:dyDescent="0.35">
      <c r="A5" s="44" t="s">
        <v>9</v>
      </c>
      <c r="B5" s="45" t="s">
        <v>49</v>
      </c>
      <c r="C5" s="46">
        <v>6475</v>
      </c>
      <c r="D5" s="46">
        <v>6521</v>
      </c>
      <c r="E5" s="46" t="s">
        <v>50</v>
      </c>
      <c r="F5" s="45" t="s">
        <v>51</v>
      </c>
      <c r="G5" s="69" t="s">
        <v>52</v>
      </c>
      <c r="H5" s="72" t="s">
        <v>53</v>
      </c>
    </row>
    <row r="6" spans="1:8" ht="60" customHeight="1" x14ac:dyDescent="0.35">
      <c r="A6" s="44" t="s">
        <v>10</v>
      </c>
      <c r="B6" s="45" t="s">
        <v>54</v>
      </c>
      <c r="C6" s="46" t="s">
        <v>55</v>
      </c>
      <c r="D6" s="46" t="s">
        <v>56</v>
      </c>
      <c r="E6" s="47" t="s">
        <v>57</v>
      </c>
      <c r="F6" s="45" t="s">
        <v>58</v>
      </c>
      <c r="G6" s="69" t="s">
        <v>59</v>
      </c>
      <c r="H6" s="72" t="s">
        <v>60</v>
      </c>
    </row>
    <row r="7" spans="1:8" ht="60" customHeight="1" x14ac:dyDescent="0.35">
      <c r="A7" s="44" t="s">
        <v>12</v>
      </c>
      <c r="B7" s="45" t="s">
        <v>49</v>
      </c>
      <c r="C7" s="46">
        <v>35802</v>
      </c>
      <c r="D7" s="46">
        <v>36104</v>
      </c>
      <c r="E7" s="46" t="s">
        <v>61</v>
      </c>
      <c r="F7" s="45" t="s">
        <v>62</v>
      </c>
      <c r="G7" s="69" t="s">
        <v>63</v>
      </c>
      <c r="H7" s="72" t="s">
        <v>64</v>
      </c>
    </row>
    <row r="8" spans="1:8" ht="60" customHeight="1" x14ac:dyDescent="0.35">
      <c r="A8" s="44" t="s">
        <v>13</v>
      </c>
      <c r="B8" s="45" t="s">
        <v>54</v>
      </c>
      <c r="C8" s="46" t="s">
        <v>65</v>
      </c>
      <c r="D8" s="46" t="s">
        <v>66</v>
      </c>
      <c r="E8" s="48" t="s">
        <v>67</v>
      </c>
      <c r="F8" s="45" t="s">
        <v>68</v>
      </c>
      <c r="G8" s="69" t="s">
        <v>69</v>
      </c>
      <c r="H8" s="72" t="s">
        <v>70</v>
      </c>
    </row>
    <row r="9" spans="1:8" ht="60" customHeight="1" x14ac:dyDescent="0.35">
      <c r="A9" s="49" t="s">
        <v>16</v>
      </c>
      <c r="B9" s="50" t="s">
        <v>54</v>
      </c>
      <c r="C9" s="51" t="s">
        <v>71</v>
      </c>
      <c r="D9" s="51" t="s">
        <v>72</v>
      </c>
      <c r="E9" s="52" t="s">
        <v>73</v>
      </c>
      <c r="F9" s="50" t="s">
        <v>74</v>
      </c>
      <c r="G9" s="70" t="s">
        <v>75</v>
      </c>
      <c r="H9" s="73" t="s">
        <v>76</v>
      </c>
    </row>
    <row r="10" spans="1:8" ht="60" customHeight="1" x14ac:dyDescent="0.35">
      <c r="A10" s="44" t="s">
        <v>18</v>
      </c>
      <c r="B10" s="45" t="s">
        <v>49</v>
      </c>
      <c r="C10" s="46">
        <v>530</v>
      </c>
      <c r="D10" s="46">
        <v>487</v>
      </c>
      <c r="E10" s="46" t="s">
        <v>77</v>
      </c>
      <c r="F10" s="45" t="s">
        <v>78</v>
      </c>
      <c r="G10" s="69" t="s">
        <v>79</v>
      </c>
      <c r="H10" s="72" t="s">
        <v>80</v>
      </c>
    </row>
    <row r="11" spans="1:8" ht="60" customHeight="1" x14ac:dyDescent="0.35">
      <c r="A11" s="49" t="s">
        <v>21</v>
      </c>
      <c r="B11" s="50" t="s">
        <v>49</v>
      </c>
      <c r="C11" s="51">
        <v>4596</v>
      </c>
      <c r="D11" s="51">
        <v>4721</v>
      </c>
      <c r="E11" s="51" t="s">
        <v>81</v>
      </c>
      <c r="F11" s="50" t="s">
        <v>82</v>
      </c>
      <c r="G11" s="70" t="s">
        <v>83</v>
      </c>
      <c r="H11" s="73" t="s">
        <v>84</v>
      </c>
    </row>
    <row r="13" spans="1:8" ht="15.75" customHeight="1" x14ac:dyDescent="0.35">
      <c r="A13" s="62" t="s">
        <v>85</v>
      </c>
      <c r="B13" s="62"/>
      <c r="C13" s="62"/>
      <c r="D13" s="62"/>
      <c r="E13" s="62"/>
      <c r="F13" s="62"/>
      <c r="G13" s="62"/>
      <c r="H13" s="62"/>
    </row>
  </sheetData>
  <mergeCells count="4">
    <mergeCell ref="A1:H1"/>
    <mergeCell ref="A2:H2"/>
    <mergeCell ref="A3:H3"/>
    <mergeCell ref="A13:H13"/>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showGridLines="0" zoomScaleNormal="100" workbookViewId="0">
      <selection activeCell="B19" sqref="B19"/>
    </sheetView>
  </sheetViews>
  <sheetFormatPr defaultColWidth="8.6328125" defaultRowHeight="14.5" x14ac:dyDescent="0.35"/>
  <cols>
    <col min="1" max="1" width="36" customWidth="1"/>
    <col min="2" max="2" width="52.7265625" customWidth="1"/>
    <col min="3" max="3" width="22" customWidth="1"/>
    <col min="4" max="4" width="26.36328125" customWidth="1"/>
    <col min="6" max="6" width="8.6328125" customWidth="1"/>
  </cols>
  <sheetData>
    <row r="1" spans="1:6" ht="27.75" customHeight="1" x14ac:dyDescent="0.35">
      <c r="A1" s="61" t="s">
        <v>86</v>
      </c>
      <c r="B1" s="61"/>
      <c r="C1" s="61"/>
      <c r="D1" s="61"/>
      <c r="E1" s="61"/>
      <c r="F1" s="61"/>
    </row>
    <row r="2" spans="1:6" ht="15.75" customHeight="1" x14ac:dyDescent="0.35">
      <c r="A2" s="62" t="s">
        <v>87</v>
      </c>
      <c r="B2" s="62"/>
      <c r="C2" s="62"/>
      <c r="D2" s="62"/>
      <c r="E2" s="62"/>
      <c r="F2" s="62"/>
    </row>
    <row r="3" spans="1:6" ht="19.5" customHeight="1" x14ac:dyDescent="0.35">
      <c r="A3" s="67" t="s">
        <v>88</v>
      </c>
      <c r="B3" s="67"/>
      <c r="C3" s="67"/>
      <c r="D3" s="67"/>
    </row>
    <row r="4" spans="1:6" ht="18" customHeight="1" x14ac:dyDescent="0.35">
      <c r="A4" s="54" t="s">
        <v>89</v>
      </c>
      <c r="B4" s="54" t="s">
        <v>90</v>
      </c>
      <c r="C4" s="54" t="s">
        <v>91</v>
      </c>
      <c r="D4" s="54" t="s">
        <v>45</v>
      </c>
    </row>
    <row r="5" spans="1:6" ht="18" customHeight="1" x14ac:dyDescent="0.35">
      <c r="A5" s="55" t="s">
        <v>92</v>
      </c>
      <c r="B5" s="56">
        <v>13</v>
      </c>
      <c r="C5" s="56">
        <v>13</v>
      </c>
      <c r="D5" s="57" t="s">
        <v>23</v>
      </c>
    </row>
    <row r="6" spans="1:6" ht="18" customHeight="1" x14ac:dyDescent="0.35">
      <c r="A6" s="55" t="s">
        <v>93</v>
      </c>
      <c r="B6" s="4">
        <v>191656</v>
      </c>
      <c r="C6" s="4">
        <v>192086</v>
      </c>
      <c r="D6" s="58">
        <v>430</v>
      </c>
    </row>
    <row r="7" spans="1:6" ht="18" customHeight="1" x14ac:dyDescent="0.35">
      <c r="A7" s="55" t="s">
        <v>94</v>
      </c>
      <c r="B7" s="56">
        <v>726917592</v>
      </c>
      <c r="C7" s="56">
        <v>729817175</v>
      </c>
      <c r="D7" s="57">
        <v>2899583</v>
      </c>
    </row>
    <row r="8" spans="1:6" ht="18" customHeight="1" x14ac:dyDescent="0.35">
      <c r="A8" s="55" t="s">
        <v>95</v>
      </c>
      <c r="B8" s="56">
        <v>13</v>
      </c>
      <c r="C8" s="56">
        <v>6</v>
      </c>
      <c r="D8" s="57" t="s">
        <v>96</v>
      </c>
    </row>
    <row r="9" spans="1:6" ht="18" customHeight="1" x14ac:dyDescent="0.35">
      <c r="A9" s="55" t="s">
        <v>97</v>
      </c>
      <c r="B9" s="56">
        <v>0</v>
      </c>
      <c r="C9" s="56">
        <v>7</v>
      </c>
      <c r="D9" s="57" t="s">
        <v>98</v>
      </c>
    </row>
    <row r="10" spans="1:6" ht="18" customHeight="1" x14ac:dyDescent="0.35">
      <c r="A10" s="55" t="s">
        <v>99</v>
      </c>
      <c r="B10" s="56">
        <v>0</v>
      </c>
      <c r="C10" s="56">
        <v>2</v>
      </c>
      <c r="D10" s="59" t="s">
        <v>100</v>
      </c>
    </row>
    <row r="11" spans="1:6" ht="18" customHeight="1" x14ac:dyDescent="0.35">
      <c r="A11" s="55" t="s">
        <v>101</v>
      </c>
      <c r="B11" s="56">
        <v>0</v>
      </c>
      <c r="C11" s="56">
        <v>5</v>
      </c>
      <c r="D11" s="60" t="s">
        <v>102</v>
      </c>
    </row>
    <row r="13" spans="1:6" ht="19.5" customHeight="1" x14ac:dyDescent="0.35">
      <c r="A13" s="68" t="s">
        <v>103</v>
      </c>
      <c r="B13" s="68"/>
      <c r="C13" s="68"/>
      <c r="D13" s="68"/>
    </row>
    <row r="14" spans="1:6" ht="30" customHeight="1" x14ac:dyDescent="0.35">
      <c r="A14" s="49" t="s">
        <v>16</v>
      </c>
      <c r="B14" s="53" t="s">
        <v>104</v>
      </c>
      <c r="C14" s="65" t="s">
        <v>105</v>
      </c>
      <c r="D14" s="65"/>
    </row>
    <row r="15" spans="1:6" ht="30" customHeight="1" x14ac:dyDescent="0.35">
      <c r="A15" s="49" t="s">
        <v>21</v>
      </c>
      <c r="B15" s="53" t="s">
        <v>106</v>
      </c>
      <c r="C15" s="65" t="s">
        <v>107</v>
      </c>
      <c r="D15" s="65"/>
    </row>
    <row r="17" spans="1:4" ht="49.5" customHeight="1" x14ac:dyDescent="0.35">
      <c r="A17" s="66" t="s">
        <v>109</v>
      </c>
      <c r="B17" s="66"/>
      <c r="C17" s="66"/>
      <c r="D17" s="66"/>
    </row>
  </sheetData>
  <mergeCells count="7">
    <mergeCell ref="C15:D15"/>
    <mergeCell ref="A17:D17"/>
    <mergeCell ref="A1:F1"/>
    <mergeCell ref="A2:F2"/>
    <mergeCell ref="A3:D3"/>
    <mergeCell ref="A13:D13"/>
    <mergeCell ref="C14:D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SFY2022 Budget Reference</vt:lpstr>
      <vt:lpstr>Reconciliation Report</vt:lpstr>
      <vt:lpstr>Findings &amp; Resolution Log</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graham pinti</cp:lastModifiedBy>
  <cp:revision>0</cp:revision>
  <dcterms:created xsi:type="dcterms:W3CDTF">2026-04-03T04:01:33Z</dcterms:created>
  <dcterms:modified xsi:type="dcterms:W3CDTF">2026-05-07T23:59:59Z</dcterms:modified>
  <dc:language>en-US</dc:language>
</cp:coreProperties>
</file>