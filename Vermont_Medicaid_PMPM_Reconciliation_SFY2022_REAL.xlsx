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5aaaf459011b9ad/Desktop/Data Analytics Portfolio/"/>
    </mc:Choice>
  </mc:AlternateContent>
  <xr:revisionPtr revIDLastSave="296" documentId="11_3D39268957D3A0604C56B4838E9D120876590D58" xr6:coauthVersionLast="47" xr6:coauthVersionMax="47" xr10:uidLastSave="{1D02F467-F615-429E-934B-F3E20D2F23B1}"/>
  <bookViews>
    <workbookView xWindow="16600" yWindow="1890" windowWidth="21690" windowHeight="17070" tabRatio="500" firstSheet="1" activeTab="2" xr2:uid="{00000000-000D-0000-FFFF-FFFF00000000}"/>
  </bookViews>
  <sheets>
    <sheet name="SFY2022 Budget Reference" sheetId="1" r:id="rId1"/>
    <sheet name="Reconciliation Report" sheetId="2" r:id="rId2"/>
    <sheet name="Findings &amp; Resolution Log" sheetId="3" r:id="rId3"/>
    <sheet name="Summary Dashboard"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8" i="2" l="1"/>
  <c r="C18" i="2"/>
  <c r="C6" i="4" s="1"/>
  <c r="B18" i="2"/>
  <c r="B6" i="4" s="1"/>
  <c r="K17" i="2"/>
  <c r="L17" i="2" s="1"/>
  <c r="J17" i="2"/>
  <c r="H17" i="2"/>
  <c r="I17" i="2" s="1"/>
  <c r="E17" i="2"/>
  <c r="D17" i="2"/>
  <c r="K16" i="2"/>
  <c r="L16" i="2" s="1"/>
  <c r="J16" i="2"/>
  <c r="I16" i="2"/>
  <c r="H16" i="2"/>
  <c r="D16" i="2"/>
  <c r="E16" i="2" s="1"/>
  <c r="K15" i="2"/>
  <c r="L15" i="2" s="1"/>
  <c r="J15" i="2"/>
  <c r="H15" i="2"/>
  <c r="I15" i="2" s="1"/>
  <c r="E15" i="2"/>
  <c r="D15" i="2"/>
  <c r="K14" i="2"/>
  <c r="L14" i="2" s="1"/>
  <c r="J14" i="2"/>
  <c r="H14" i="2"/>
  <c r="I14" i="2" s="1"/>
  <c r="D14" i="2"/>
  <c r="E14" i="2" s="1"/>
  <c r="K13" i="2"/>
  <c r="L13" i="2" s="1"/>
  <c r="J13" i="2"/>
  <c r="H13" i="2"/>
  <c r="I13" i="2" s="1"/>
  <c r="E13" i="2"/>
  <c r="D13" i="2"/>
  <c r="L12" i="2"/>
  <c r="K12" i="2"/>
  <c r="J12" i="2"/>
  <c r="H12" i="2"/>
  <c r="I12" i="2" s="1"/>
  <c r="E12" i="2"/>
  <c r="D12" i="2"/>
  <c r="K11" i="2"/>
  <c r="J11" i="2"/>
  <c r="L11" i="2" s="1"/>
  <c r="H11" i="2"/>
  <c r="I11" i="2" s="1"/>
  <c r="E11" i="2"/>
  <c r="D11" i="2"/>
  <c r="K10" i="2"/>
  <c r="L10" i="2" s="1"/>
  <c r="J10" i="2"/>
  <c r="H10" i="2"/>
  <c r="I10" i="2" s="1"/>
  <c r="D10" i="2"/>
  <c r="E10" i="2" s="1"/>
  <c r="L9" i="2"/>
  <c r="K9" i="2"/>
  <c r="J9" i="2"/>
  <c r="I9" i="2"/>
  <c r="H9" i="2"/>
  <c r="D9" i="2"/>
  <c r="E9" i="2" s="1"/>
  <c r="K8" i="2"/>
  <c r="J8" i="2"/>
  <c r="L8" i="2" s="1"/>
  <c r="H8" i="2"/>
  <c r="I8" i="2" s="1"/>
  <c r="D8" i="2"/>
  <c r="E8" i="2" s="1"/>
  <c r="K7" i="2"/>
  <c r="L7" i="2" s="1"/>
  <c r="J7" i="2"/>
  <c r="H7" i="2"/>
  <c r="I7" i="2" s="1"/>
  <c r="D7" i="2"/>
  <c r="E7" i="2" s="1"/>
  <c r="K6" i="2"/>
  <c r="J6" i="2"/>
  <c r="L6" i="2" s="1"/>
  <c r="H6" i="2"/>
  <c r="I6" i="2" s="1"/>
  <c r="D6" i="2"/>
  <c r="E6" i="2" s="1"/>
  <c r="K5" i="2"/>
  <c r="K18" i="2" s="1"/>
  <c r="C7" i="4" s="1"/>
  <c r="D7" i="4" s="1"/>
  <c r="J5" i="2"/>
  <c r="J18" i="2" s="1"/>
  <c r="B7" i="4" s="1"/>
  <c r="H5" i="2"/>
  <c r="I5" i="2" s="1"/>
  <c r="D5" i="2"/>
  <c r="E5" i="2" s="1"/>
  <c r="C18" i="1"/>
  <c r="B18" i="1"/>
  <c r="F17" i="1"/>
  <c r="E17" i="1"/>
  <c r="F16" i="1"/>
  <c r="E16" i="1"/>
  <c r="F15" i="1"/>
  <c r="E15" i="1"/>
  <c r="F14" i="1"/>
  <c r="E14" i="1"/>
  <c r="F13" i="1"/>
  <c r="E13" i="1"/>
  <c r="F12" i="1"/>
  <c r="E12" i="1"/>
  <c r="F11" i="1"/>
  <c r="E11" i="1"/>
  <c r="F10" i="1"/>
  <c r="E10" i="1"/>
  <c r="F9" i="1"/>
  <c r="E9" i="1"/>
  <c r="F8" i="1"/>
  <c r="E8" i="1"/>
  <c r="F7" i="1"/>
  <c r="E7" i="1"/>
  <c r="F6" i="1"/>
  <c r="E6" i="1"/>
  <c r="F5" i="1"/>
  <c r="F18" i="1" s="1"/>
  <c r="E5" i="1"/>
  <c r="E18" i="1" s="1"/>
  <c r="C11" i="4"/>
  <c r="D11" i="4" s="1"/>
  <c r="C5" i="4"/>
  <c r="B5" i="4"/>
  <c r="B8" i="4" s="1"/>
  <c r="C10" i="4" l="1"/>
  <c r="D10" i="4" s="1"/>
  <c r="C8" i="4"/>
  <c r="D8" i="4" s="1"/>
  <c r="C9" i="4"/>
  <c r="D9" i="4" s="1"/>
  <c r="D6" i="4"/>
  <c r="L5" i="2"/>
  <c r="L18" i="2" s="1"/>
</calcChain>
</file>

<file path=xl/sharedStrings.xml><?xml version="1.0" encoding="utf-8"?>
<sst xmlns="http://schemas.openxmlformats.org/spreadsheetml/2006/main" count="255" uniqueCount="163">
  <si>
    <t xml:space="preserve">  Vermont Medicaid SFY2022 — Budgeted PMPM Reference Data</t>
  </si>
  <si>
    <t xml:space="preserve">  Source: DVHA Annual PMPM Legislative Report (September 15, 2022) | Prepared by: Patrick Rooney, Financial Director IV</t>
  </si>
  <si>
    <t>NOTE: This report contains budgetary projections only ("As Passed"). Figures represent projected monthly average enrollment and gross PMPM costs per eligibility group. Premiums paused for Public Health Emergency — Premium PMPM = $0 for all groups. Source data is reproduced verbatim from the official DVHA legislative report.</t>
  </si>
  <si>
    <t>Medicaid Eligibility Group (MEG)</t>
  </si>
  <si>
    <t>Avg Monthly
Enrollment</t>
  </si>
  <si>
    <t>Gross PMPM ($)</t>
  </si>
  <si>
    <t>Premium PMPM ($)</t>
  </si>
  <si>
    <t>Net PMPM ($)</t>
  </si>
  <si>
    <t>Annual Budget Est. ($)</t>
  </si>
  <si>
    <t>ABD Adult</t>
  </si>
  <si>
    <t>ABD Dual</t>
  </si>
  <si>
    <t>General Adult</t>
  </si>
  <si>
    <t>New Adult Childless</t>
  </si>
  <si>
    <t>New Adult w/Child</t>
  </si>
  <si>
    <t>Vermont Premium Assist.</t>
  </si>
  <si>
    <t>Vermont Cost Sharing</t>
  </si>
  <si>
    <t>ABD Child</t>
  </si>
  <si>
    <t>General Child</t>
  </si>
  <si>
    <t>Underinsured Child</t>
  </si>
  <si>
    <t>CHIP</t>
  </si>
  <si>
    <t>Pharmacy Only</t>
  </si>
  <si>
    <t>Choices for Care</t>
  </si>
  <si>
    <t>TOTAL / WEIGHTED AVG</t>
  </si>
  <si>
    <t>—</t>
  </si>
  <si>
    <t xml:space="preserve">  Vermont Medicaid SFY2022 — Budget vs. Actual PMPM Reconciliation</t>
  </si>
  <si>
    <t xml:space="preserve">  Prepared by: Graham Pinti | Variance Threshold: &gt;2.0% PMPM or &gt;1.0% enrollment flagged for review</t>
  </si>
  <si>
    <t>RECONCILIATION PROCESS: Budgeted figures sourced from DVHA SFY2022 Annual PMPM Legislative Report (As Passed budget). Actual figures sourced from the DVHA Medicaid Program Enrollment &amp; Expenditures Quarterly Report, Q4 SFY22 YTD (DVHA-only scope, period ending June 30, 2022). Choices for Care actuals reflect the Acute sub-category only; Traditional long-term care is budgeted/administered separately and reports $0 expenditure under DVHA-only scope. Variances exceeding ±2.0% in PMPM or ±1.0% in enrollment are automatically flagged for review.</t>
  </si>
  <si>
    <t>MEG</t>
  </si>
  <si>
    <t>Budget
Enrollment</t>
  </si>
  <si>
    <t>Actual
Enrollment</t>
  </si>
  <si>
    <t>Enroll.
Variance</t>
  </si>
  <si>
    <t>Enroll.
Var %</t>
  </si>
  <si>
    <t>Budget
PMPM ($)</t>
  </si>
  <si>
    <t>Actual
PMPM ($)</t>
  </si>
  <si>
    <t>PMPM
Variance ($)</t>
  </si>
  <si>
    <t>PMPM
Var %</t>
  </si>
  <si>
    <t>Budget
Ann. Cost ($)</t>
  </si>
  <si>
    <t>Actual
Ann. Cost ($)</t>
  </si>
  <si>
    <t>Cost
Impact ($)</t>
  </si>
  <si>
    <t>TOTALS</t>
  </si>
  <si>
    <t xml:space="preserve">  Vermont Medicaid SFY2022 — Reconciliation Findings &amp; Resolution Log</t>
  </si>
  <si>
    <t xml:space="preserve">  Analyst: Graham Pinti | Items requiring investigation and documented resolution</t>
  </si>
  <si>
    <t>24 findings recorded across the 13 MEGs in this analysis (one row per flagged metric — Enrollment and/or PMPM). All variances are attributable almost entirely to the federal COVID-19 Public Health Emergency (PHE) continuous enrollment requirement, which prohibited Medicaid disenrollment for the duration of the PHE, combined with a statewide rebound in deferred care utilization as providers resumed normal operations.</t>
  </si>
  <si>
    <t>Variance Type</t>
  </si>
  <si>
    <t>Budget Figure</t>
  </si>
  <si>
    <t>Actual Figure</t>
  </si>
  <si>
    <t>Variance</t>
  </si>
  <si>
    <t>Variance %</t>
  </si>
  <si>
    <t>Finding &amp; Root Cause</t>
  </si>
  <si>
    <t>Resolution &amp; Status</t>
  </si>
  <si>
    <t>Enrollment</t>
  </si>
  <si>
    <t>-5.53%</t>
  </si>
  <si>
    <t>Enrollment came in 5.53% below budget, likely reflecting natural turnover among the aged/blind/disabled population (Medicare dual-eligibility transitions, mortality) that PHE continuous enrollment protections did not fully offset.</t>
  </si>
  <si>
    <t>PMPM Cost</t>
  </si>
  <si>
    <t>$764.19</t>
  </si>
  <si>
    <t>$832.45</t>
  </si>
  <si>
    <t>+68.26</t>
  </si>
  <si>
    <t>+8.93%</t>
  </si>
  <si>
    <t>PMPM exceeded budget by 8.93%, consistent with pent-up demand for delayed elective and specialty care as providers resumed normal operations following pandemic-era deferrals.</t>
  </si>
  <si>
    <t>+3.73%</t>
  </si>
  <si>
    <t>Enrollment exceeded budget by 3.73% due to PHE continuous enrollment provisions, which prevented redeterminations for this dual-eligible population throughout SFY22.</t>
  </si>
  <si>
    <t>$257.64</t>
  </si>
  <si>
    <t>$233.05</t>
  </si>
  <si>
    <t>-24.59</t>
  </si>
  <si>
    <t>-9.54%</t>
  </si>
  <si>
    <t>PMPM came in 9.54% under budget. Medicare-as-primary-payer for this population likely absorbed a larger share of cost growth, holding Medicaid-side PMPM down despite higher caseload.</t>
  </si>
  <si>
    <t>+60.80%</t>
  </si>
  <si>
    <t>Enrollment exceeded budget by 60.80%, the largest variance in the portfolio, driven directly by federal PHE continuous enrollment provisions barring disenrollment of parents/caretakers and transitional Medicaid recipients.</t>
  </si>
  <si>
    <t>$502.44</t>
  </si>
  <si>
    <t>$362.05</t>
  </si>
  <si>
    <t>-140.39</t>
  </si>
  <si>
    <t>-27.94%</t>
  </si>
  <si>
    <t>PMPM dropped 27.94% below budget as the retained population included many lower-acuity members who would otherwise have cycled off, diluting average per-member cost.</t>
  </si>
  <si>
    <t>+33.53%</t>
  </si>
  <si>
    <t>Enrollment exceeded budget by 33.53%, consistent with the statewide PHE continuous enrollment effect across expansion adult categories.</t>
  </si>
  <si>
    <t>$470.11</t>
  </si>
  <si>
    <t>$441.97</t>
  </si>
  <si>
    <t>-28.14</t>
  </si>
  <si>
    <t>-5.99%</t>
  </si>
  <si>
    <t>PMPM came in 5.99% under budget, suggesting the retained population skewed healthier than the pre-pandemic caseload mix assumed in the As Passed budget.</t>
  </si>
  <si>
    <t>+12.81%</t>
  </si>
  <si>
    <t>Enrollment exceeded budget by 12.81%, driven by PHE continuous enrollment protections applying to parents with dependent children.</t>
  </si>
  <si>
    <t>$404.75</t>
  </si>
  <si>
    <t>$437.20</t>
  </si>
  <si>
    <t>+32.45</t>
  </si>
  <si>
    <t>+8.02%</t>
  </si>
  <si>
    <t>PMPM exceeded budget by 8.02%, likely from rebound utilization as parents returned to deferred preventive and specialty care for themselves and dependents.</t>
  </si>
  <si>
    <t>-21.75%</t>
  </si>
  <si>
    <t>Enrollment fell 21.75% below budget, the only large category to decline meaningfully. This population draws from the QHP marketplace rather than core Medicaid, so it was not protected by continuous enrollment; the drop is consistent with members shifting to employer-sponsored coverage as the labor market recovered.</t>
  </si>
  <si>
    <t>$29.36</t>
  </si>
  <si>
    <t>$30.23</t>
  </si>
  <si>
    <t>+0.87</t>
  </si>
  <si>
    <t>+2.96%</t>
  </si>
  <si>
    <t>PMPM came in 2.96% over budget, a modest unfavorable variance likely tied to the same post-pandemic utilization rebound seen across other categories.</t>
  </si>
  <si>
    <t>-6.03%</t>
  </si>
  <si>
    <t>Enrollment came in 6.03% under budget, tracking the same marketplace dynamics as Vermont Premium Assistance since this cost-sharing reduction population draws from the same QHP-enrolled base.</t>
  </si>
  <si>
    <t>$29.12</t>
  </si>
  <si>
    <t>$26.99</t>
  </si>
  <si>
    <t>-2.13</t>
  </si>
  <si>
    <t>-7.31%</t>
  </si>
  <si>
    <t>PMPM came in 7.31% under budget, a favorable variance consistent with the enrollment decline in this population.</t>
  </si>
  <si>
    <t>-3.70%</t>
  </si>
  <si>
    <t>Enrollment came in 3.70% under budget for this high-acuity disabled child population, a modest favorable variance.</t>
  </si>
  <si>
    <t>$1068.01</t>
  </si>
  <si>
    <t>$1015.84</t>
  </si>
  <si>
    <t>-52.17</t>
  </si>
  <si>
    <t>-4.88%</t>
  </si>
  <si>
    <t>PMPM came in 4.88% under budget, likely reflecting continued reliance on telehealth and home-based services that began during the pandemic and persisted into SFY22.</t>
  </si>
  <si>
    <t>+3.77%</t>
  </si>
  <si>
    <t>Enrollment exceeded budget by 3.77%, consistent with continuous enrollment provisions applying to children eligible for cash assistance and foster care payments.</t>
  </si>
  <si>
    <t>$224.40</t>
  </si>
  <si>
    <t>$252.33</t>
  </si>
  <si>
    <t>+27.93</t>
  </si>
  <si>
    <t>+12.45%</t>
  </si>
  <si>
    <t>PMPM exceeded budget by 12.45%, consistent with a statewide rebound in pediatric care utilization, including catch-up well-child visits and vaccinations deferred earlier in the pandemic.</t>
  </si>
  <si>
    <t>+16.23%</t>
  </si>
  <si>
    <t>Enrollment exceeded budget by 16.23%. This is a small population, so percentage swings are naturally amplified by a modest absolute change. Likely reflects economic disruption during the pandemic recovery period increasing reliance on wraparound coverage for children with other primary insurance.</t>
  </si>
  <si>
    <t>+7.61%</t>
  </si>
  <si>
    <t>Enrollment exceeded budget by 7.61% as continuous enrollment provisions applied to CHIP families as well as core Medicaid categories.</t>
  </si>
  <si>
    <t>$165.45</t>
  </si>
  <si>
    <t>$175.64</t>
  </si>
  <si>
    <t>+10.19</t>
  </si>
  <si>
    <t>+6.16%</t>
  </si>
  <si>
    <t>PMPM exceeded budget by 6.16%, consistent with the same pediatric utilization rebound seen in General Child.</t>
  </si>
  <si>
    <t>$47.50</t>
  </si>
  <si>
    <t>$55.40</t>
  </si>
  <si>
    <t>+7.90</t>
  </si>
  <si>
    <t>+16.63%</t>
  </si>
  <si>
    <t>PMPM exceeded budget by 16.63%, the largest percentage cost overrun in the portfolio. Consistent with statewide pharmacy spend trends in SFY22 driven by specialty drug cost growth and rising prescription volume as members resumed regular prescribing patterns post-pandemic.</t>
  </si>
  <si>
    <t>-3.22%</t>
  </si>
  <si>
    <t>Enrollment came in 3.22% under budget for this high-cost waiver program. Note: figure reflects Choices for Care - Acute only; Traditional long-term care is budgeted/administered separately and reports $0 expenditure under DVHA-only scope, so it is excluded here to avoid mismatched comparison.</t>
  </si>
  <si>
    <t>$727.16</t>
  </si>
  <si>
    <t>$710.49</t>
  </si>
  <si>
    <t>-16.67</t>
  </si>
  <si>
    <t>-2.29%</t>
  </si>
  <si>
    <t>PMPM came in 2.29% under budget, a modest favorable variance for the Acute sub-category specifically.</t>
  </si>
  <si>
    <t>LEGEND: Red = Unfavorable variance (actual exceeded budget — higher enrollment or higher PMPM cost than planned). Green = Favorable variance (actual came in under budget). All 24 findings are ESCALATED per threshold; color indicates direction, not severity.</t>
  </si>
  <si>
    <t xml:space="preserve">  Vermont Medicaid SFY2022 — Reconciliation Summary Dashboard</t>
  </si>
  <si>
    <t xml:space="preserve">   Reflects real DVHA actuals vs. As Passed budget</t>
  </si>
  <si>
    <t>RECONCILIATION SUMMARY — SFY2022 (Real Actuals)</t>
  </si>
  <si>
    <t>Metric</t>
  </si>
  <si>
    <t>Budget</t>
  </si>
  <si>
    <t>Actual</t>
  </si>
  <si>
    <t>Total MEGs Reviewed</t>
  </si>
  <si>
    <t>Total Enrolled Members (Avg Monthly)</t>
  </si>
  <si>
    <t>Total Annual Budget Estimate ($)</t>
  </si>
  <si>
    <t>MEGs with No Variance</t>
  </si>
  <si>
    <t>MEGs Flagged for Review</t>
  </si>
  <si>
    <t>MEGs Escalated (&gt;Threshold)</t>
  </si>
  <si>
    <t>MEGs Resolved</t>
  </si>
  <si>
    <t>TOP ESCALATED ITEMS BY COST IMPACT</t>
  </si>
  <si>
    <t>Enrollment +33.53%, PMPM -5.99% — $51,569,972 over budget</t>
  </si>
  <si>
    <t>PHE continuous enrollment / utilization rebound — see Findings Log</t>
  </si>
  <si>
    <t>Enrollment +3.77%, PMPM +12.45% — $26,769,284 over budget</t>
  </si>
  <si>
    <t>Enrollment +12.81%, PMPM +8.02% — $23,624,752 over budget</t>
  </si>
  <si>
    <t>DATA SOURCE: Budget — DVHA SFY2022 Annual PMPM Legislative Report (September 15, 2022). Actuals — DVHA Medicaid Program Enrollment &amp; Expenditures Quarterly Report, Q4 SFY22 YTD, DVHA-only scope (Report Date: September 1, 2022). Analysis prepared by Graham Pinti for portfolio demonstration.</t>
  </si>
  <si>
    <t xml:space="preserve">ESCALATED — Enrollment variance exceeds threshold. PHE-driven. </t>
  </si>
  <si>
    <t xml:space="preserve">ESCALATED — PMPM variance exceeds threshold. Utilization-driven. </t>
  </si>
  <si>
    <t xml:space="preserve">ESCALATED — Enrollment variance exceeds threshold. </t>
  </si>
  <si>
    <t xml:space="preserve">ESCALATED — PMPM variance exceeds threshold. </t>
  </si>
  <si>
    <t>ESCALATED — PMPM variance exceeds threshold. Utilization-driven.</t>
  </si>
  <si>
    <t>Note: Enrollment and Annual Budget are totals (summed). PMPM figures are enrollment-weighted averages, not simple averages.</t>
  </si>
  <si>
    <t>Note: Bold rows indicate the 3 largest cost impacts in the portfolio (New Adult Childless, General Child, New Adult w/Child).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</si>
</sst>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
    <numFmt numFmtId="165" formatCode="\$#,##0"/>
    <numFmt numFmtId="166" formatCode="#,##0;\(#,##0\);\-"/>
    <numFmt numFmtId="167" formatCode="0.00%;\(0.00%\);\-"/>
    <numFmt numFmtId="168" formatCode="\$#,##0.00;&quot;($&quot;#,##0.00\);\-"/>
    <numFmt numFmtId="169" formatCode="\$#,##0;&quot;($&quot;#,##0\);\-"/>
  </numFmts>
  <fonts count="32" x14ac:knownFonts="1">
    <font>
      <sz val="11"/>
      <color theme="1"/>
      <name val="Calibri"/>
      <family val="2"/>
      <charset val="1"/>
    </font>
    <font>
      <sz val="11"/>
      <color theme="1"/>
      <name val="Calibri"/>
      <family val="2"/>
      <scheme val="minor"/>
    </font>
    <font>
      <b/>
      <sz val="13"/>
      <color rgb="FFFFFFFF"/>
      <name val="Arial"/>
      <charset val="1"/>
    </font>
    <font>
      <i/>
      <sz val="9"/>
      <color rgb="FF1F4E79"/>
      <name val="Arial"/>
      <charset val="1"/>
    </font>
    <font>
      <b/>
      <sz val="10"/>
      <color rgb="FFFFFFFF"/>
      <name val="Arial"/>
      <charset val="1"/>
    </font>
    <font>
      <sz val="10"/>
      <color rgb="FF000000"/>
      <name val="Arial"/>
      <charset val="1"/>
    </font>
    <font>
      <sz val="10"/>
      <color rgb="FF808080"/>
      <name val="Arial"/>
      <charset val="1"/>
    </font>
    <font>
      <sz val="10"/>
      <name val="Arial"/>
      <charset val="1"/>
    </font>
    <font>
      <sz val="10"/>
      <color rgb="FF375623"/>
      <name val="Arial"/>
      <charset val="1"/>
    </font>
    <font>
      <sz val="10"/>
      <color rgb="FFC00000"/>
      <name val="Arial"/>
      <charset val="1"/>
    </font>
    <font>
      <b/>
      <sz val="10"/>
      <color rgb="FF000000"/>
      <name val="Arial"/>
      <charset val="1"/>
    </font>
    <font>
      <b/>
      <sz val="11"/>
      <color rgb="FFFFFFFF"/>
      <name val="Arial"/>
      <charset val="1"/>
    </font>
    <font>
      <b/>
      <sz val="10"/>
      <color rgb="FF1F4E79"/>
      <name val="Arial"/>
      <charset val="1"/>
    </font>
    <font>
      <i/>
      <sz val="8"/>
      <color rgb="FF595959"/>
      <name val="Arial"/>
      <charset val="1"/>
    </font>
    <font>
      <b/>
      <sz val="11"/>
      <color theme="1"/>
      <name val="Calibri"/>
      <family val="2"/>
      <scheme val="minor"/>
    </font>
    <font>
      <sz val="11"/>
      <color theme="0"/>
      <name val="Calibri"/>
      <family val="2"/>
      <scheme val="minor"/>
    </font>
    <font>
      <b/>
      <sz val="13"/>
      <color rgb="FFFFFFFF"/>
      <name val="Arial"/>
      <family val="2"/>
    </font>
    <font>
      <b/>
      <sz val="10"/>
      <color rgb="FF000000"/>
      <name val="Arial"/>
      <family val="2"/>
    </font>
    <font>
      <sz val="11"/>
      <color theme="1"/>
      <name val="Arial"/>
      <family val="2"/>
    </font>
    <font>
      <sz val="11"/>
      <color rgb="FF000000"/>
      <name val="Arial"/>
      <family val="2"/>
    </font>
    <font>
      <b/>
      <sz val="11"/>
      <color rgb="FF000000"/>
      <name val="Arial"/>
      <family val="2"/>
    </font>
    <font>
      <sz val="9.5"/>
      <color theme="1"/>
      <name val="Calibri"/>
      <family val="2"/>
    </font>
    <font>
      <sz val="11"/>
      <name val="Arial"/>
      <family val="2"/>
    </font>
    <font>
      <b/>
      <sz val="11"/>
      <name val="Arial"/>
      <family val="2"/>
    </font>
    <font>
      <sz val="11"/>
      <color rgb="FFC00000"/>
      <name val="Calibri"/>
      <family val="2"/>
      <scheme val="minor"/>
    </font>
    <font>
      <b/>
      <sz val="11"/>
      <color theme="1"/>
      <name val="Arial"/>
      <family val="2"/>
    </font>
    <font>
      <sz val="10"/>
      <color theme="1"/>
      <name val="Arial"/>
      <family val="2"/>
    </font>
    <font>
      <i/>
      <sz val="11"/>
      <color rgb="FFC00000"/>
      <name val="Arial"/>
      <family val="2"/>
    </font>
    <font>
      <i/>
      <sz val="10"/>
      <color rgb="FF1F4E79"/>
      <name val="Arial"/>
      <family val="2"/>
    </font>
    <font>
      <b/>
      <sz val="10"/>
      <name val="Arial"/>
      <family val="2"/>
    </font>
    <font>
      <sz val="10"/>
      <name val="Arial"/>
      <family val="2"/>
    </font>
    <font>
      <sz val="10.4"/>
      <color theme="1"/>
      <name val="Arial"/>
      <family val="2"/>
    </font>
  </fonts>
  <fills count="15">
    <fill>
      <patternFill patternType="none"/>
    </fill>
    <fill>
      <patternFill patternType="gray125"/>
    </fill>
    <fill>
      <patternFill patternType="solid">
        <fgColor rgb="FF1F4E79"/>
        <bgColor rgb="FF003366"/>
      </patternFill>
    </fill>
    <fill>
      <patternFill patternType="solid">
        <fgColor rgb="FFD6E4F0"/>
        <bgColor rgb="FFD9D9D9"/>
      </patternFill>
    </fill>
    <fill>
      <patternFill patternType="solid">
        <fgColor rgb="FFF2F2F2"/>
        <bgColor rgb="FFE2F0D9"/>
      </patternFill>
    </fill>
    <fill>
      <patternFill patternType="solid">
        <fgColor rgb="FF2E75B6"/>
        <bgColor rgb="FF0066CC"/>
      </patternFill>
    </fill>
    <fill>
      <patternFill patternType="solid">
        <fgColor rgb="FFFCE4D6"/>
        <bgColor rgb="FFFCE4E4"/>
      </patternFill>
    </fill>
    <fill>
      <patternFill patternType="solid">
        <fgColor rgb="FFE2F0D9"/>
        <bgColor rgb="FFF2F2F2"/>
      </patternFill>
    </fill>
    <fill>
      <patternFill patternType="solid">
        <fgColor rgb="FFFCE4E4"/>
        <bgColor rgb="FFFCE4D6"/>
      </patternFill>
    </fill>
    <fill>
      <patternFill patternType="solid">
        <fgColor rgb="FFBDD7EE"/>
        <bgColor rgb="FFD9D9D9"/>
      </patternFill>
    </fill>
    <fill>
      <patternFill patternType="solid">
        <fgColor rgb="FFC00000"/>
        <bgColor rgb="FF800000"/>
      </patternFill>
    </fill>
    <fill>
      <patternFill patternType="solid">
        <fgColor theme="4"/>
      </patternFill>
    </fill>
    <fill>
      <patternFill patternType="solid">
        <fgColor theme="9" tint="0.79998168889431442"/>
        <bgColor indexed="65"/>
      </patternFill>
    </fill>
    <fill>
      <patternFill patternType="solid">
        <fgColor theme="0" tint="-4.9989318521683403E-2"/>
        <bgColor indexed="64"/>
      </patternFill>
    </fill>
    <fill>
      <patternFill patternType="solid">
        <fgColor theme="0"/>
        <bgColor rgb="FFFCE4E4"/>
      </patternFill>
    </fill>
  </fills>
  <borders count="7">
    <border>
      <left/>
      <right/>
      <top/>
      <bottom/>
      <diagonal/>
    </border>
    <border>
      <left style="thin">
        <color rgb="FF2E75B6"/>
      </left>
      <right style="thin">
        <color rgb="FF2E75B6"/>
      </right>
      <top style="thin">
        <color rgb="FF2E75B6"/>
      </top>
      <bottom style="thin">
        <color rgb="FF2E75B6"/>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5" fillId="11" borderId="0" applyNumberFormat="0" applyBorder="0" applyAlignment="0" applyProtection="0"/>
    <xf numFmtId="0" fontId="1" fillId="12" borderId="0" applyNumberFormat="0" applyBorder="0" applyAlignment="0" applyProtection="0"/>
  </cellStyleXfs>
  <cellXfs count="97">
    <xf numFmtId="0" fontId="0" fillId="0" borderId="0" xfId="0"/>
    <xf numFmtId="0" fontId="3" fillId="3" borderId="0" xfId="0" applyFont="1" applyFill="1" applyAlignment="1">
      <alignment horizontal="left" vertical="center" wrapText="1"/>
    </xf>
    <xf numFmtId="0" fontId="13" fillId="3" borderId="0" xfId="0" applyFont="1" applyFill="1" applyAlignment="1">
      <alignment horizontal="left" vertical="center" wrapText="1"/>
    </xf>
    <xf numFmtId="0" fontId="5" fillId="6" borderId="2" xfId="0" applyFont="1" applyFill="1" applyBorder="1" applyAlignment="1">
      <alignment horizontal="left" vertical="center"/>
    </xf>
    <xf numFmtId="0" fontId="4" fillId="10" borderId="0" xfId="0" applyFont="1" applyFill="1" applyAlignment="1">
      <alignment horizontal="left" vertical="center"/>
    </xf>
    <xf numFmtId="0" fontId="11" fillId="5" borderId="0" xfId="0" applyFont="1" applyFill="1" applyAlignment="1">
      <alignment horizontal="left" vertical="center"/>
    </xf>
    <xf numFmtId="0" fontId="3" fillId="3" borderId="0" xfId="0" applyFont="1" applyFill="1" applyAlignment="1">
      <alignment horizontal="left" vertical="center"/>
    </xf>
    <xf numFmtId="0" fontId="2" fillId="2" borderId="0" xfId="0" applyFont="1" applyFill="1" applyAlignment="1">
      <alignment horizontal="left" vertical="center"/>
    </xf>
    <xf numFmtId="0" fontId="4" fillId="2" borderId="1" xfId="0" applyFont="1" applyFill="1" applyBorder="1" applyAlignment="1">
      <alignment horizontal="center" vertical="center" wrapText="1"/>
    </xf>
    <xf numFmtId="0" fontId="5" fillId="0" borderId="2" xfId="0" applyFont="1" applyBorder="1" applyAlignment="1">
      <alignment horizontal="left" vertical="center"/>
    </xf>
    <xf numFmtId="3" fontId="5" fillId="0" borderId="2" xfId="0" applyNumberFormat="1" applyFont="1" applyBorder="1" applyAlignment="1">
      <alignment horizontal="right" vertical="center"/>
    </xf>
    <xf numFmtId="164" fontId="5" fillId="0" borderId="2" xfId="0" applyNumberFormat="1" applyFont="1" applyBorder="1" applyAlignment="1">
      <alignment horizontal="right" vertical="center"/>
    </xf>
    <xf numFmtId="164" fontId="6" fillId="0" borderId="2" xfId="0" applyNumberFormat="1" applyFont="1" applyBorder="1" applyAlignment="1">
      <alignment horizontal="right" vertical="center"/>
    </xf>
    <xf numFmtId="164" fontId="7" fillId="0" borderId="2" xfId="0" applyNumberFormat="1" applyFont="1" applyBorder="1" applyAlignment="1">
      <alignment horizontal="right"/>
    </xf>
    <xf numFmtId="165" fontId="7" fillId="0" borderId="2" xfId="0" applyNumberFormat="1" applyFont="1" applyBorder="1" applyAlignment="1">
      <alignment horizontal="right"/>
    </xf>
    <xf numFmtId="0" fontId="5" fillId="4" borderId="2" xfId="0" applyFont="1" applyFill="1" applyBorder="1" applyAlignment="1">
      <alignment horizontal="left" vertical="center"/>
    </xf>
    <xf numFmtId="3" fontId="5" fillId="4" borderId="2" xfId="0" applyNumberFormat="1" applyFont="1" applyFill="1" applyBorder="1" applyAlignment="1">
      <alignment horizontal="right" vertical="center"/>
    </xf>
    <xf numFmtId="164" fontId="5" fillId="4" borderId="2" xfId="0" applyNumberFormat="1" applyFont="1" applyFill="1" applyBorder="1" applyAlignment="1">
      <alignment horizontal="right" vertical="center"/>
    </xf>
    <xf numFmtId="164" fontId="6" fillId="4" borderId="2" xfId="0" applyNumberFormat="1" applyFont="1" applyFill="1" applyBorder="1" applyAlignment="1">
      <alignment horizontal="right" vertical="center"/>
    </xf>
    <xf numFmtId="164" fontId="7" fillId="4" borderId="2" xfId="0" applyNumberFormat="1" applyFont="1" applyFill="1" applyBorder="1" applyAlignment="1">
      <alignment horizontal="right"/>
    </xf>
    <xf numFmtId="165" fontId="7" fillId="4" borderId="2" xfId="0" applyNumberFormat="1" applyFont="1" applyFill="1" applyBorder="1" applyAlignment="1">
      <alignment horizontal="right"/>
    </xf>
    <xf numFmtId="0" fontId="4" fillId="5" borderId="1" xfId="0" applyFont="1" applyFill="1" applyBorder="1" applyAlignment="1">
      <alignment horizontal="left" vertical="center"/>
    </xf>
    <xf numFmtId="3" fontId="4"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0" fontId="4" fillId="5" borderId="1" xfId="0" applyFont="1" applyFill="1" applyBorder="1" applyAlignment="1">
      <alignment horizontal="right" vertical="center"/>
    </xf>
    <xf numFmtId="165" fontId="4" fillId="5" borderId="1" xfId="0" applyNumberFormat="1" applyFont="1" applyFill="1" applyBorder="1" applyAlignment="1">
      <alignment horizontal="right" vertical="center"/>
    </xf>
    <xf numFmtId="166" fontId="4" fillId="5" borderId="1" xfId="0" applyNumberFormat="1" applyFont="1" applyFill="1" applyBorder="1" applyAlignment="1">
      <alignment horizontal="right" vertical="center"/>
    </xf>
    <xf numFmtId="0" fontId="4" fillId="5" borderId="1" xfId="0" applyFont="1" applyFill="1" applyBorder="1" applyAlignment="1">
      <alignment horizontal="center"/>
    </xf>
    <xf numFmtId="169" fontId="4" fillId="5" borderId="1" xfId="0" applyNumberFormat="1" applyFont="1" applyFill="1" applyBorder="1" applyAlignment="1">
      <alignment horizontal="right" vertical="center"/>
    </xf>
    <xf numFmtId="0" fontId="0" fillId="0" borderId="0" xfId="0" applyAlignment="1">
      <alignment wrapText="1"/>
    </xf>
    <xf numFmtId="0" fontId="12" fillId="9" borderId="1" xfId="0" applyFont="1" applyFill="1" applyBorder="1" applyAlignment="1">
      <alignment horizontal="center" vertical="center" wrapText="1"/>
    </xf>
    <xf numFmtId="0" fontId="10" fillId="0" borderId="2" xfId="0" applyFont="1" applyBorder="1" applyAlignment="1">
      <alignment horizontal="left" vertical="center"/>
    </xf>
    <xf numFmtId="0" fontId="5" fillId="0" borderId="2" xfId="0" applyFont="1" applyBorder="1" applyAlignment="1">
      <alignment horizontal="right"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165" fontId="5" fillId="0" borderId="2" xfId="0" applyNumberFormat="1" applyFont="1" applyBorder="1" applyAlignment="1">
      <alignment horizontal="right" vertical="center"/>
    </xf>
    <xf numFmtId="0" fontId="9" fillId="0" borderId="2" xfId="0" applyFont="1" applyBorder="1" applyAlignment="1">
      <alignment horizontal="center" vertical="center"/>
    </xf>
    <xf numFmtId="0" fontId="8" fillId="0" borderId="2" xfId="0" applyFont="1" applyBorder="1" applyAlignment="1">
      <alignment horizontal="center" vertical="center"/>
    </xf>
    <xf numFmtId="0" fontId="10" fillId="6" borderId="2" xfId="0" applyFont="1" applyFill="1" applyBorder="1" applyAlignment="1">
      <alignment horizontal="left" vertical="center"/>
    </xf>
    <xf numFmtId="0" fontId="9" fillId="6" borderId="2" xfId="0" applyFont="1" applyFill="1" applyBorder="1" applyAlignment="1">
      <alignment horizontal="left" vertical="center"/>
    </xf>
    <xf numFmtId="0" fontId="0" fillId="0" borderId="0" xfId="0" applyBorder="1"/>
    <xf numFmtId="0" fontId="16" fillId="2" borderId="0" xfId="0" applyFont="1" applyFill="1" applyBorder="1" applyAlignment="1">
      <alignment horizontal="left" vertical="center"/>
    </xf>
    <xf numFmtId="0" fontId="19" fillId="7" borderId="3" xfId="0" applyFont="1" applyFill="1" applyBorder="1" applyAlignment="1">
      <alignment horizontal="left" vertical="center"/>
    </xf>
    <xf numFmtId="0" fontId="19" fillId="7" borderId="3" xfId="0" applyFont="1" applyFill="1" applyBorder="1" applyAlignment="1">
      <alignment horizontal="center" vertical="center"/>
    </xf>
    <xf numFmtId="0" fontId="19" fillId="7" borderId="3" xfId="0" applyFont="1" applyFill="1" applyBorder="1" applyAlignment="1">
      <alignment horizontal="left" vertical="center" wrapText="1"/>
    </xf>
    <xf numFmtId="0" fontId="19" fillId="8" borderId="3" xfId="0" applyFont="1" applyFill="1" applyBorder="1" applyAlignment="1">
      <alignment horizontal="left" vertical="center"/>
    </xf>
    <xf numFmtId="0" fontId="19" fillId="8" borderId="3" xfId="0" applyFont="1" applyFill="1" applyBorder="1" applyAlignment="1">
      <alignment horizontal="center" vertical="center"/>
    </xf>
    <xf numFmtId="0" fontId="19" fillId="8" borderId="3" xfId="0" applyFont="1" applyFill="1" applyBorder="1" applyAlignment="1">
      <alignment horizontal="left" vertical="center" wrapText="1"/>
    </xf>
    <xf numFmtId="0" fontId="20" fillId="8" borderId="3" xfId="0" applyFont="1" applyFill="1" applyBorder="1" applyAlignment="1">
      <alignment horizontal="left" vertical="center"/>
    </xf>
    <xf numFmtId="0" fontId="18" fillId="7" borderId="3" xfId="0" applyFont="1" applyFill="1" applyBorder="1" applyAlignment="1">
      <alignment vertical="center"/>
    </xf>
    <xf numFmtId="0" fontId="18" fillId="7" borderId="3" xfId="0" applyFont="1" applyFill="1" applyBorder="1" applyAlignment="1">
      <alignment vertical="center" wrapText="1"/>
    </xf>
    <xf numFmtId="0" fontId="18" fillId="8" borderId="3" xfId="0" applyFont="1" applyFill="1" applyBorder="1" applyAlignment="1">
      <alignment vertical="center"/>
    </xf>
    <xf numFmtId="0" fontId="18" fillId="8" borderId="3" xfId="0" applyFont="1" applyFill="1" applyBorder="1" applyAlignment="1">
      <alignment vertical="center" wrapText="1"/>
    </xf>
    <xf numFmtId="0" fontId="18" fillId="0" borderId="0" xfId="0" applyFont="1" applyAlignment="1">
      <alignment vertical="center"/>
    </xf>
    <xf numFmtId="0" fontId="18"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21" fillId="0" borderId="0" xfId="0" applyFont="1"/>
    <xf numFmtId="0" fontId="23" fillId="8" borderId="3" xfId="0" applyFont="1" applyFill="1" applyBorder="1" applyAlignment="1">
      <alignment horizontal="left" vertical="center"/>
    </xf>
    <xf numFmtId="0" fontId="1" fillId="12" borderId="0" xfId="2"/>
    <xf numFmtId="0" fontId="14" fillId="12" borderId="0" xfId="2" applyFont="1"/>
    <xf numFmtId="0" fontId="24" fillId="12" borderId="0" xfId="2" applyFont="1"/>
    <xf numFmtId="0" fontId="25" fillId="7" borderId="3" xfId="0" applyFont="1" applyFill="1" applyBorder="1" applyAlignment="1">
      <alignment vertical="center"/>
    </xf>
    <xf numFmtId="0" fontId="25" fillId="8" borderId="3" xfId="0" applyFont="1" applyFill="1" applyBorder="1" applyAlignment="1">
      <alignment vertical="center"/>
    </xf>
    <xf numFmtId="0" fontId="17" fillId="0" borderId="2" xfId="0" applyFont="1" applyBorder="1" applyAlignment="1">
      <alignment horizontal="left" vertical="center"/>
    </xf>
    <xf numFmtId="0" fontId="26" fillId="0" borderId="0" xfId="0" applyFont="1"/>
    <xf numFmtId="0" fontId="18" fillId="13" borderId="4" xfId="0" applyFont="1" applyFill="1" applyBorder="1" applyAlignment="1">
      <alignment vertical="center"/>
    </xf>
    <xf numFmtId="0" fontId="18" fillId="13" borderId="5" xfId="0" applyFont="1" applyFill="1" applyBorder="1" applyAlignment="1">
      <alignment vertical="center"/>
    </xf>
    <xf numFmtId="0" fontId="18" fillId="13" borderId="6" xfId="0" applyFont="1" applyFill="1" applyBorder="1" applyAlignment="1">
      <alignment vertical="center"/>
    </xf>
    <xf numFmtId="0" fontId="27" fillId="6" borderId="0" xfId="0" applyFont="1" applyFill="1" applyBorder="1" applyAlignment="1">
      <alignment horizontal="left" vertical="center" wrapText="1"/>
    </xf>
    <xf numFmtId="0" fontId="28" fillId="3" borderId="0" xfId="0" applyFont="1" applyFill="1" applyBorder="1" applyAlignment="1">
      <alignment horizontal="left" vertical="center"/>
    </xf>
    <xf numFmtId="0" fontId="15" fillId="11" borderId="3" xfId="1" applyBorder="1" applyAlignment="1">
      <alignment horizontal="left" vertical="center"/>
    </xf>
    <xf numFmtId="0" fontId="15" fillId="11" borderId="3" xfId="1" applyBorder="1" applyAlignment="1">
      <alignment horizontal="center" vertical="center"/>
    </xf>
    <xf numFmtId="0" fontId="15" fillId="11" borderId="3" xfId="1" applyBorder="1" applyAlignment="1">
      <alignment horizontal="right" vertical="center"/>
    </xf>
    <xf numFmtId="0" fontId="15" fillId="11" borderId="3" xfId="1" applyBorder="1" applyAlignment="1">
      <alignment horizontal="left" vertical="center" wrapText="1"/>
    </xf>
    <xf numFmtId="0" fontId="5" fillId="14" borderId="2" xfId="0" applyFont="1" applyFill="1" applyBorder="1" applyAlignment="1">
      <alignment horizontal="left" vertical="center"/>
    </xf>
    <xf numFmtId="169" fontId="29" fillId="0" borderId="2" xfId="0" applyNumberFormat="1" applyFont="1" applyBorder="1" applyAlignment="1">
      <alignment horizontal="right"/>
    </xf>
    <xf numFmtId="169" fontId="29" fillId="14" borderId="2" xfId="0" applyNumberFormat="1" applyFont="1" applyFill="1" applyBorder="1" applyAlignment="1">
      <alignment horizontal="right"/>
    </xf>
    <xf numFmtId="3" fontId="30" fillId="0" borderId="2" xfId="0" applyNumberFormat="1" applyFont="1" applyBorder="1" applyAlignment="1">
      <alignment horizontal="right" vertical="center"/>
    </xf>
    <xf numFmtId="166" fontId="30" fillId="0" borderId="2" xfId="0" applyNumberFormat="1" applyFont="1" applyBorder="1" applyAlignment="1">
      <alignment horizontal="right"/>
    </xf>
    <xf numFmtId="167" fontId="30" fillId="0" borderId="2" xfId="0" applyNumberFormat="1" applyFont="1" applyBorder="1" applyAlignment="1">
      <alignment horizontal="right"/>
    </xf>
    <xf numFmtId="164" fontId="30" fillId="0" borderId="2" xfId="0" applyNumberFormat="1" applyFont="1" applyBorder="1" applyAlignment="1">
      <alignment horizontal="right" vertical="center"/>
    </xf>
    <xf numFmtId="168" fontId="30" fillId="0" borderId="2" xfId="0" applyNumberFormat="1" applyFont="1" applyBorder="1" applyAlignment="1">
      <alignment horizontal="right"/>
    </xf>
    <xf numFmtId="165" fontId="30" fillId="0" borderId="2" xfId="0" applyNumberFormat="1" applyFont="1" applyBorder="1" applyAlignment="1">
      <alignment horizontal="right"/>
    </xf>
    <xf numFmtId="3" fontId="30" fillId="14" borderId="2" xfId="0" applyNumberFormat="1" applyFont="1" applyFill="1" applyBorder="1" applyAlignment="1">
      <alignment horizontal="right" vertical="center"/>
    </xf>
    <xf numFmtId="166" fontId="30" fillId="14" borderId="2" xfId="0" applyNumberFormat="1" applyFont="1" applyFill="1" applyBorder="1" applyAlignment="1">
      <alignment horizontal="right"/>
    </xf>
    <xf numFmtId="167" fontId="30" fillId="14" borderId="2" xfId="0" applyNumberFormat="1" applyFont="1" applyFill="1" applyBorder="1" applyAlignment="1">
      <alignment horizontal="right"/>
    </xf>
    <xf numFmtId="164" fontId="30" fillId="14" borderId="2" xfId="0" applyNumberFormat="1" applyFont="1" applyFill="1" applyBorder="1" applyAlignment="1">
      <alignment horizontal="right" vertical="center"/>
    </xf>
    <xf numFmtId="168" fontId="30" fillId="14" borderId="2" xfId="0" applyNumberFormat="1" applyFont="1" applyFill="1" applyBorder="1" applyAlignment="1">
      <alignment horizontal="right"/>
    </xf>
    <xf numFmtId="165" fontId="30" fillId="14" borderId="2" xfId="0" applyNumberFormat="1" applyFont="1" applyFill="1" applyBorder="1" applyAlignment="1">
      <alignment horizontal="right"/>
    </xf>
    <xf numFmtId="0" fontId="22" fillId="8" borderId="3" xfId="0" applyFont="1" applyFill="1" applyBorder="1" applyAlignment="1">
      <alignment horizontal="center" vertical="center"/>
    </xf>
    <xf numFmtId="0" fontId="22" fillId="7" borderId="3" xfId="0" applyFont="1" applyFill="1" applyBorder="1" applyAlignment="1">
      <alignment horizontal="center" vertical="center"/>
    </xf>
    <xf numFmtId="0" fontId="18" fillId="7" borderId="3" xfId="0" applyFont="1" applyFill="1" applyBorder="1" applyAlignment="1">
      <alignment horizontal="center" vertical="center"/>
    </xf>
    <xf numFmtId="0" fontId="18" fillId="8" borderId="3" xfId="0" applyFont="1" applyFill="1" applyBorder="1" applyAlignment="1">
      <alignment horizontal="center" vertical="center"/>
    </xf>
    <xf numFmtId="0" fontId="31" fillId="0" borderId="0" xfId="0" applyFont="1"/>
    <xf numFmtId="0" fontId="22" fillId="7" borderId="3" xfId="0" applyFont="1" applyFill="1" applyBorder="1" applyAlignment="1">
      <alignment horizontal="left" vertical="center" wrapText="1"/>
    </xf>
    <xf numFmtId="0" fontId="22" fillId="8" borderId="3" xfId="0" applyFont="1" applyFill="1" applyBorder="1" applyAlignment="1">
      <alignment horizontal="left" vertical="center" wrapText="1"/>
    </xf>
  </cellXfs>
  <cellStyles count="3">
    <cellStyle name="20% - Accent6" xfId="2" builtinId="50"/>
    <cellStyle name="Accent1" xfId="1" builtinId="29"/>
    <cellStyle name="Normal" xfId="0" builtinId="0"/>
  </cellStyles>
  <dxfs count="5">
    <dxf>
      <font>
        <color rgb="FFC00000"/>
      </font>
    </dxf>
    <dxf>
      <font>
        <color theme="6" tint="-0.499984740745262"/>
      </font>
    </dxf>
    <dxf>
      <font>
        <color rgb="FF00B050"/>
      </font>
    </dxf>
    <dxf>
      <font>
        <color rgb="FFC00000"/>
      </font>
    </dxf>
    <dxf>
      <font>
        <color rgb="FFC00000"/>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2F2F2"/>
      <rgbColor rgb="FFD6E4F0"/>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CE4E4"/>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843C0C"/>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showGridLines="0" zoomScaleNormal="100" workbookViewId="0">
      <selection activeCell="B27" sqref="B27"/>
    </sheetView>
  </sheetViews>
  <sheetFormatPr defaultColWidth="8.6328125" defaultRowHeight="14.5" x14ac:dyDescent="0.35"/>
  <cols>
    <col min="1" max="1" width="30" customWidth="1"/>
    <col min="2" max="5" width="16" customWidth="1"/>
    <col min="6" max="6" width="22" customWidth="1"/>
  </cols>
  <sheetData>
    <row r="1" spans="1:6" ht="27.75" customHeight="1" x14ac:dyDescent="0.35">
      <c r="A1" s="7" t="s">
        <v>0</v>
      </c>
      <c r="B1" s="7"/>
      <c r="C1" s="7"/>
      <c r="D1" s="7"/>
      <c r="E1" s="7"/>
      <c r="F1" s="7"/>
    </row>
    <row r="2" spans="1:6" ht="15.75" customHeight="1" x14ac:dyDescent="0.35">
      <c r="A2" s="6" t="s">
        <v>1</v>
      </c>
      <c r="B2" s="6"/>
      <c r="C2" s="6"/>
      <c r="D2" s="6"/>
      <c r="E2" s="6"/>
      <c r="F2" s="6"/>
    </row>
    <row r="3" spans="1:6" ht="39.75" customHeight="1" x14ac:dyDescent="0.35">
      <c r="A3" s="1" t="s">
        <v>2</v>
      </c>
      <c r="B3" s="1"/>
      <c r="C3" s="1"/>
      <c r="D3" s="1"/>
      <c r="E3" s="1"/>
      <c r="F3" s="1"/>
    </row>
    <row r="4" spans="1:6" ht="30" customHeight="1" x14ac:dyDescent="0.35">
      <c r="A4" s="8" t="s">
        <v>3</v>
      </c>
      <c r="B4" s="8" t="s">
        <v>4</v>
      </c>
      <c r="C4" s="8" t="s">
        <v>5</v>
      </c>
      <c r="D4" s="8" t="s">
        <v>6</v>
      </c>
      <c r="E4" s="8" t="s">
        <v>7</v>
      </c>
      <c r="F4" s="8" t="s">
        <v>8</v>
      </c>
    </row>
    <row r="5" spans="1:6" ht="14.25" customHeight="1" x14ac:dyDescent="0.35">
      <c r="A5" s="9" t="s">
        <v>9</v>
      </c>
      <c r="B5" s="10">
        <v>6475</v>
      </c>
      <c r="C5" s="11">
        <v>764.19</v>
      </c>
      <c r="D5" s="12">
        <v>0</v>
      </c>
      <c r="E5" s="13">
        <f t="shared" ref="E5:E17" si="0">C5-D5</f>
        <v>764.19</v>
      </c>
      <c r="F5" s="14">
        <f t="shared" ref="F5:F17" si="1">B5*C5*12</f>
        <v>59377563</v>
      </c>
    </row>
    <row r="6" spans="1:6" ht="14.25" customHeight="1" x14ac:dyDescent="0.35">
      <c r="A6" s="15" t="s">
        <v>10</v>
      </c>
      <c r="B6" s="16">
        <v>17649</v>
      </c>
      <c r="C6" s="17">
        <v>257.64</v>
      </c>
      <c r="D6" s="18">
        <v>0</v>
      </c>
      <c r="E6" s="19">
        <f t="shared" si="0"/>
        <v>257.64</v>
      </c>
      <c r="F6" s="20">
        <f t="shared" si="1"/>
        <v>54565060.319999993</v>
      </c>
    </row>
    <row r="7" spans="1:6" ht="14.25" customHeight="1" x14ac:dyDescent="0.35">
      <c r="A7" s="9" t="s">
        <v>11</v>
      </c>
      <c r="B7" s="10">
        <v>10049</v>
      </c>
      <c r="C7" s="11">
        <v>502.44</v>
      </c>
      <c r="D7" s="12">
        <v>0</v>
      </c>
      <c r="E7" s="13">
        <f t="shared" si="0"/>
        <v>502.44</v>
      </c>
      <c r="F7" s="14">
        <f t="shared" si="1"/>
        <v>60588234.719999999</v>
      </c>
    </row>
    <row r="8" spans="1:6" ht="14.25" customHeight="1" x14ac:dyDescent="0.35">
      <c r="A8" s="15" t="s">
        <v>12</v>
      </c>
      <c r="B8" s="16">
        <v>35802</v>
      </c>
      <c r="C8" s="17">
        <v>470.11</v>
      </c>
      <c r="D8" s="18">
        <v>0</v>
      </c>
      <c r="E8" s="19">
        <f t="shared" si="0"/>
        <v>470.11</v>
      </c>
      <c r="F8" s="20">
        <f t="shared" si="1"/>
        <v>201970538.63999999</v>
      </c>
    </row>
    <row r="9" spans="1:6" ht="14.25" customHeight="1" x14ac:dyDescent="0.35">
      <c r="A9" s="9" t="s">
        <v>13</v>
      </c>
      <c r="B9" s="10">
        <v>22258</v>
      </c>
      <c r="C9" s="11">
        <v>404.75</v>
      </c>
      <c r="D9" s="12">
        <v>0</v>
      </c>
      <c r="E9" s="13">
        <f t="shared" si="0"/>
        <v>404.75</v>
      </c>
      <c r="F9" s="14">
        <f t="shared" si="1"/>
        <v>108107106</v>
      </c>
    </row>
    <row r="10" spans="1:6" ht="14.25" customHeight="1" x14ac:dyDescent="0.35">
      <c r="A10" s="15" t="s">
        <v>14</v>
      </c>
      <c r="B10" s="16">
        <v>15937</v>
      </c>
      <c r="C10" s="17">
        <v>29.36</v>
      </c>
      <c r="D10" s="18">
        <v>0</v>
      </c>
      <c r="E10" s="19">
        <f t="shared" si="0"/>
        <v>29.36</v>
      </c>
      <c r="F10" s="20">
        <f t="shared" si="1"/>
        <v>5614923.8399999999</v>
      </c>
    </row>
    <row r="11" spans="1:6" ht="14.25" customHeight="1" x14ac:dyDescent="0.35">
      <c r="A11" s="9" t="s">
        <v>15</v>
      </c>
      <c r="B11" s="10">
        <v>3236</v>
      </c>
      <c r="C11" s="11">
        <v>29.12</v>
      </c>
      <c r="D11" s="12">
        <v>0</v>
      </c>
      <c r="E11" s="13">
        <f t="shared" si="0"/>
        <v>29.12</v>
      </c>
      <c r="F11" s="14">
        <f t="shared" si="1"/>
        <v>1130787.8400000001</v>
      </c>
    </row>
    <row r="12" spans="1:6" ht="14.25" customHeight="1" x14ac:dyDescent="0.35">
      <c r="A12" s="15" t="s">
        <v>16</v>
      </c>
      <c r="B12" s="16">
        <v>1594</v>
      </c>
      <c r="C12" s="17">
        <v>1068.01</v>
      </c>
      <c r="D12" s="18">
        <v>0</v>
      </c>
      <c r="E12" s="19">
        <f t="shared" si="0"/>
        <v>1068.01</v>
      </c>
      <c r="F12" s="20">
        <f t="shared" si="1"/>
        <v>20428895.280000001</v>
      </c>
    </row>
    <row r="13" spans="1:6" ht="14.25" customHeight="1" x14ac:dyDescent="0.35">
      <c r="A13" s="9" t="s">
        <v>17</v>
      </c>
      <c r="B13" s="10">
        <v>59588</v>
      </c>
      <c r="C13" s="11">
        <v>224.4</v>
      </c>
      <c r="D13" s="12">
        <v>0</v>
      </c>
      <c r="E13" s="13">
        <f t="shared" si="0"/>
        <v>224.4</v>
      </c>
      <c r="F13" s="14">
        <f t="shared" si="1"/>
        <v>160458566.40000001</v>
      </c>
    </row>
    <row r="14" spans="1:6" ht="14.25" customHeight="1" x14ac:dyDescent="0.35">
      <c r="A14" s="15" t="s">
        <v>18</v>
      </c>
      <c r="B14" s="16">
        <v>530</v>
      </c>
      <c r="C14" s="17">
        <v>68.19</v>
      </c>
      <c r="D14" s="18">
        <v>0</v>
      </c>
      <c r="E14" s="19">
        <f t="shared" si="0"/>
        <v>68.19</v>
      </c>
      <c r="F14" s="20">
        <f t="shared" si="1"/>
        <v>433688.39999999997</v>
      </c>
    </row>
    <row r="15" spans="1:6" ht="14.25" customHeight="1" x14ac:dyDescent="0.35">
      <c r="A15" s="9" t="s">
        <v>19</v>
      </c>
      <c r="B15" s="10">
        <v>4374</v>
      </c>
      <c r="C15" s="11">
        <v>165.45</v>
      </c>
      <c r="D15" s="12">
        <v>0</v>
      </c>
      <c r="E15" s="13">
        <f t="shared" si="0"/>
        <v>165.45</v>
      </c>
      <c r="F15" s="14">
        <f t="shared" si="1"/>
        <v>8684139.5999999996</v>
      </c>
    </row>
    <row r="16" spans="1:6" ht="14.25" customHeight="1" x14ac:dyDescent="0.35">
      <c r="A16" s="15" t="s">
        <v>20</v>
      </c>
      <c r="B16" s="16">
        <v>9568</v>
      </c>
      <c r="C16" s="17">
        <v>47.5</v>
      </c>
      <c r="D16" s="18">
        <v>0</v>
      </c>
      <c r="E16" s="19">
        <f t="shared" si="0"/>
        <v>47.5</v>
      </c>
      <c r="F16" s="20">
        <f t="shared" si="1"/>
        <v>5453760</v>
      </c>
    </row>
    <row r="17" spans="1:6" ht="14.25" customHeight="1" x14ac:dyDescent="0.35">
      <c r="A17" s="9" t="s">
        <v>21</v>
      </c>
      <c r="B17" s="10">
        <v>4596</v>
      </c>
      <c r="C17" s="11">
        <v>727.16</v>
      </c>
      <c r="D17" s="12">
        <v>0</v>
      </c>
      <c r="E17" s="13">
        <f t="shared" si="0"/>
        <v>727.16</v>
      </c>
      <c r="F17" s="14">
        <f t="shared" si="1"/>
        <v>40104328.32</v>
      </c>
    </row>
    <row r="18" spans="1:6" ht="18" customHeight="1" x14ac:dyDescent="0.35">
      <c r="A18" s="21" t="s">
        <v>22</v>
      </c>
      <c r="B18" s="22">
        <f>SUM(B5:B17)</f>
        <v>191656</v>
      </c>
      <c r="C18" s="23">
        <f>SUMPRODUCT(B5:B17,C5:C17)/SUM(B5:B17)</f>
        <v>316.06871702425178</v>
      </c>
      <c r="D18" s="24" t="s">
        <v>23</v>
      </c>
      <c r="E18" s="23">
        <f>SUMPRODUCT(B5:B17,E5:E17)/SUM(B5:B17)</f>
        <v>316.06871702425178</v>
      </c>
      <c r="F18" s="25">
        <f>SUM(F5:F17)</f>
        <v>726917592.3599999</v>
      </c>
    </row>
    <row r="19" spans="1:6" x14ac:dyDescent="0.35">
      <c r="A19" s="57" t="s">
        <v>161</v>
      </c>
    </row>
  </sheetData>
  <mergeCells count="3">
    <mergeCell ref="A1:F1"/>
    <mergeCell ref="A2:F2"/>
    <mergeCell ref="A3:F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
  <sheetViews>
    <sheetView showGridLines="0" zoomScaleNormal="100" workbookViewId="0">
      <pane ySplit="4" topLeftCell="A5" activePane="bottomLeft" state="frozen"/>
      <selection pane="bottomLeft" activeCell="L24" sqref="L24"/>
    </sheetView>
  </sheetViews>
  <sheetFormatPr defaultColWidth="8.6328125" defaultRowHeight="14.5" x14ac:dyDescent="0.35"/>
  <cols>
    <col min="1" max="1" width="28" customWidth="1"/>
    <col min="2" max="4" width="14" customWidth="1"/>
    <col min="5" max="5" width="11" customWidth="1"/>
    <col min="6" max="7" width="14" customWidth="1"/>
    <col min="8" max="8" width="16" customWidth="1"/>
    <col min="9" max="9" width="11" customWidth="1"/>
    <col min="10" max="12" width="18" customWidth="1"/>
  </cols>
  <sheetData>
    <row r="1" spans="1:12" ht="27.75" customHeight="1" x14ac:dyDescent="0.35">
      <c r="A1" s="7" t="s">
        <v>24</v>
      </c>
      <c r="B1" s="7"/>
      <c r="C1" s="7"/>
      <c r="D1" s="7"/>
      <c r="E1" s="7"/>
      <c r="F1" s="7"/>
      <c r="G1" s="7"/>
      <c r="H1" s="7"/>
      <c r="I1" s="7"/>
      <c r="J1" s="7"/>
      <c r="K1" s="7"/>
      <c r="L1" s="7"/>
    </row>
    <row r="2" spans="1:12" ht="15.75" customHeight="1" x14ac:dyDescent="0.35">
      <c r="A2" s="6" t="s">
        <v>25</v>
      </c>
      <c r="B2" s="6"/>
      <c r="C2" s="6"/>
      <c r="D2" s="6"/>
      <c r="E2" s="6"/>
      <c r="F2" s="6"/>
      <c r="G2" s="6"/>
      <c r="H2" s="6"/>
      <c r="I2" s="6"/>
      <c r="J2" s="6"/>
      <c r="K2" s="6"/>
      <c r="L2" s="6"/>
    </row>
    <row r="3" spans="1:12" ht="34.5" customHeight="1" x14ac:dyDescent="0.35">
      <c r="A3" s="1" t="s">
        <v>26</v>
      </c>
      <c r="B3" s="1"/>
      <c r="C3" s="1"/>
      <c r="D3" s="1"/>
      <c r="E3" s="1"/>
      <c r="F3" s="1"/>
      <c r="G3" s="1"/>
      <c r="H3" s="1"/>
      <c r="I3" s="1"/>
      <c r="J3" s="1"/>
      <c r="K3" s="1"/>
      <c r="L3" s="1"/>
    </row>
    <row r="4" spans="1:12" ht="30" customHeight="1" x14ac:dyDescent="0.35">
      <c r="A4" s="8" t="s">
        <v>27</v>
      </c>
      <c r="B4" s="8" t="s">
        <v>28</v>
      </c>
      <c r="C4" s="8" t="s">
        <v>29</v>
      </c>
      <c r="D4" s="8" t="s">
        <v>30</v>
      </c>
      <c r="E4" s="8" t="s">
        <v>31</v>
      </c>
      <c r="F4" s="8" t="s">
        <v>32</v>
      </c>
      <c r="G4" s="8" t="s">
        <v>33</v>
      </c>
      <c r="H4" s="8" t="s">
        <v>34</v>
      </c>
      <c r="I4" s="8" t="s">
        <v>35</v>
      </c>
      <c r="J4" s="8" t="s">
        <v>36</v>
      </c>
      <c r="K4" s="8" t="s">
        <v>37</v>
      </c>
      <c r="L4" s="8" t="s">
        <v>38</v>
      </c>
    </row>
    <row r="5" spans="1:12" ht="15.75" customHeight="1" x14ac:dyDescent="0.35">
      <c r="A5" s="9" t="s">
        <v>9</v>
      </c>
      <c r="B5" s="78">
        <v>6475</v>
      </c>
      <c r="C5" s="78">
        <v>6117</v>
      </c>
      <c r="D5" s="79">
        <f t="shared" ref="D5:D17" si="0">C5-B5</f>
        <v>-358</v>
      </c>
      <c r="E5" s="80">
        <f t="shared" ref="E5:E17" si="1">D5/B5</f>
        <v>-5.5289575289575288E-2</v>
      </c>
      <c r="F5" s="81">
        <v>764.19</v>
      </c>
      <c r="G5" s="81">
        <v>832.45</v>
      </c>
      <c r="H5" s="82">
        <f t="shared" ref="H5:H17" si="2">G5-F5</f>
        <v>68.259999999999991</v>
      </c>
      <c r="I5" s="80">
        <f t="shared" ref="I5:I17" si="3">H5/F5</f>
        <v>8.9323335819625996E-2</v>
      </c>
      <c r="J5" s="83">
        <f t="shared" ref="J5:J17" si="4">B5*F5*12</f>
        <v>59377563</v>
      </c>
      <c r="K5" s="83">
        <f t="shared" ref="K5:K17" si="5">C5*G5*12</f>
        <v>61105159.800000004</v>
      </c>
      <c r="L5" s="76">
        <f t="shared" ref="L5:L17" si="6">K5-J5</f>
        <v>1727596.8000000045</v>
      </c>
    </row>
    <row r="6" spans="1:12" ht="15.75" customHeight="1" x14ac:dyDescent="0.35">
      <c r="A6" s="9" t="s">
        <v>10</v>
      </c>
      <c r="B6" s="78">
        <v>17649</v>
      </c>
      <c r="C6" s="78">
        <v>18307</v>
      </c>
      <c r="D6" s="79">
        <f t="shared" si="0"/>
        <v>658</v>
      </c>
      <c r="E6" s="80">
        <f t="shared" si="1"/>
        <v>3.7282565584452379E-2</v>
      </c>
      <c r="F6" s="81">
        <v>257.64</v>
      </c>
      <c r="G6" s="81">
        <v>233.05</v>
      </c>
      <c r="H6" s="82">
        <f t="shared" si="2"/>
        <v>-24.589999999999975</v>
      </c>
      <c r="I6" s="80">
        <f t="shared" si="3"/>
        <v>-9.5443254153081733E-2</v>
      </c>
      <c r="J6" s="83">
        <f t="shared" si="4"/>
        <v>54565060.319999993</v>
      </c>
      <c r="K6" s="83">
        <f t="shared" si="5"/>
        <v>51197356.200000003</v>
      </c>
      <c r="L6" s="76">
        <f t="shared" si="6"/>
        <v>-3367704.1199999899</v>
      </c>
    </row>
    <row r="7" spans="1:12" ht="15.75" customHeight="1" x14ac:dyDescent="0.35">
      <c r="A7" s="9" t="s">
        <v>11</v>
      </c>
      <c r="B7" s="78">
        <v>10049</v>
      </c>
      <c r="C7" s="78">
        <v>16159</v>
      </c>
      <c r="D7" s="79">
        <f t="shared" si="0"/>
        <v>6110</v>
      </c>
      <c r="E7" s="80">
        <f t="shared" si="1"/>
        <v>0.60802069857697283</v>
      </c>
      <c r="F7" s="81">
        <v>502.44</v>
      </c>
      <c r="G7" s="81">
        <v>362.05</v>
      </c>
      <c r="H7" s="82">
        <f t="shared" si="2"/>
        <v>-140.38999999999999</v>
      </c>
      <c r="I7" s="80">
        <f t="shared" si="3"/>
        <v>-0.27941644773505292</v>
      </c>
      <c r="J7" s="83">
        <f t="shared" si="4"/>
        <v>60588234.719999999</v>
      </c>
      <c r="K7" s="83">
        <f t="shared" si="5"/>
        <v>70204391.400000006</v>
      </c>
      <c r="L7" s="76">
        <f t="shared" si="6"/>
        <v>9616156.6800000072</v>
      </c>
    </row>
    <row r="8" spans="1:12" ht="15.75" customHeight="1" x14ac:dyDescent="0.35">
      <c r="A8" s="64" t="s">
        <v>12</v>
      </c>
      <c r="B8" s="78">
        <v>35802</v>
      </c>
      <c r="C8" s="78">
        <v>47805</v>
      </c>
      <c r="D8" s="79">
        <f t="shared" si="0"/>
        <v>12003</v>
      </c>
      <c r="E8" s="80">
        <f t="shared" si="1"/>
        <v>0.33526059996648233</v>
      </c>
      <c r="F8" s="81">
        <v>470.11</v>
      </c>
      <c r="G8" s="81">
        <v>441.97</v>
      </c>
      <c r="H8" s="82">
        <f t="shared" si="2"/>
        <v>-28.139999999999986</v>
      </c>
      <c r="I8" s="80">
        <f t="shared" si="3"/>
        <v>-5.9858331028908099E-2</v>
      </c>
      <c r="J8" s="83">
        <f t="shared" si="4"/>
        <v>201970538.63999999</v>
      </c>
      <c r="K8" s="83">
        <f t="shared" si="5"/>
        <v>253540510.20000002</v>
      </c>
      <c r="L8" s="76">
        <f t="shared" si="6"/>
        <v>51569971.560000032</v>
      </c>
    </row>
    <row r="9" spans="1:12" ht="15.75" customHeight="1" x14ac:dyDescent="0.35">
      <c r="A9" s="64" t="s">
        <v>13</v>
      </c>
      <c r="B9" s="78">
        <v>22258</v>
      </c>
      <c r="C9" s="78">
        <v>25109</v>
      </c>
      <c r="D9" s="79">
        <f t="shared" si="0"/>
        <v>2851</v>
      </c>
      <c r="E9" s="80">
        <f t="shared" si="1"/>
        <v>0.12808877706891905</v>
      </c>
      <c r="F9" s="81">
        <v>404.75</v>
      </c>
      <c r="G9" s="81">
        <v>437.2</v>
      </c>
      <c r="H9" s="82">
        <f t="shared" si="2"/>
        <v>32.449999999999989</v>
      </c>
      <c r="I9" s="80">
        <f t="shared" si="3"/>
        <v>8.0172946263125364E-2</v>
      </c>
      <c r="J9" s="83">
        <f t="shared" si="4"/>
        <v>108107106</v>
      </c>
      <c r="K9" s="83">
        <f t="shared" si="5"/>
        <v>131731857.59999999</v>
      </c>
      <c r="L9" s="76">
        <f t="shared" si="6"/>
        <v>23624751.599999994</v>
      </c>
    </row>
    <row r="10" spans="1:12" ht="15.75" customHeight="1" x14ac:dyDescent="0.35">
      <c r="A10" s="9" t="s">
        <v>14</v>
      </c>
      <c r="B10" s="78">
        <v>15937</v>
      </c>
      <c r="C10" s="78">
        <v>12471</v>
      </c>
      <c r="D10" s="79">
        <f t="shared" si="0"/>
        <v>-3466</v>
      </c>
      <c r="E10" s="80">
        <f t="shared" si="1"/>
        <v>-0.21748133274769404</v>
      </c>
      <c r="F10" s="81">
        <v>29.36</v>
      </c>
      <c r="G10" s="81">
        <v>30.23</v>
      </c>
      <c r="H10" s="82">
        <f t="shared" si="2"/>
        <v>0.87000000000000099</v>
      </c>
      <c r="I10" s="80">
        <f t="shared" si="3"/>
        <v>2.9632152588555893E-2</v>
      </c>
      <c r="J10" s="83">
        <f t="shared" si="4"/>
        <v>5614923.8399999999</v>
      </c>
      <c r="K10" s="83">
        <f t="shared" si="5"/>
        <v>4523979.96</v>
      </c>
      <c r="L10" s="76">
        <f t="shared" si="6"/>
        <v>-1090943.8799999999</v>
      </c>
    </row>
    <row r="11" spans="1:12" ht="15.75" customHeight="1" x14ac:dyDescent="0.35">
      <c r="A11" s="9" t="s">
        <v>15</v>
      </c>
      <c r="B11" s="78">
        <v>3236</v>
      </c>
      <c r="C11" s="78">
        <v>3041</v>
      </c>
      <c r="D11" s="79">
        <f t="shared" si="0"/>
        <v>-195</v>
      </c>
      <c r="E11" s="80">
        <f t="shared" si="1"/>
        <v>-6.0259579728059336E-2</v>
      </c>
      <c r="F11" s="81">
        <v>29.12</v>
      </c>
      <c r="G11" s="81">
        <v>26.99</v>
      </c>
      <c r="H11" s="82">
        <f t="shared" si="2"/>
        <v>-2.1300000000000026</v>
      </c>
      <c r="I11" s="80">
        <f t="shared" si="3"/>
        <v>-7.3145604395604483E-2</v>
      </c>
      <c r="J11" s="83">
        <f t="shared" si="4"/>
        <v>1130787.8400000001</v>
      </c>
      <c r="K11" s="83">
        <f t="shared" si="5"/>
        <v>984919.08</v>
      </c>
      <c r="L11" s="76">
        <f t="shared" si="6"/>
        <v>-145868.76000000013</v>
      </c>
    </row>
    <row r="12" spans="1:12" ht="15.75" customHeight="1" x14ac:dyDescent="0.35">
      <c r="A12" s="75" t="s">
        <v>16</v>
      </c>
      <c r="B12" s="84">
        <v>1594</v>
      </c>
      <c r="C12" s="84">
        <v>1535</v>
      </c>
      <c r="D12" s="85">
        <f t="shared" si="0"/>
        <v>-59</v>
      </c>
      <c r="E12" s="86">
        <f t="shared" si="1"/>
        <v>-3.7013801756587202E-2</v>
      </c>
      <c r="F12" s="87">
        <v>1068.01</v>
      </c>
      <c r="G12" s="87">
        <v>1015.84</v>
      </c>
      <c r="H12" s="88">
        <f t="shared" si="2"/>
        <v>-52.169999999999959</v>
      </c>
      <c r="I12" s="86">
        <f t="shared" si="3"/>
        <v>-4.884785722980118E-2</v>
      </c>
      <c r="J12" s="89">
        <f t="shared" si="4"/>
        <v>20428895.280000001</v>
      </c>
      <c r="K12" s="89">
        <f t="shared" si="5"/>
        <v>18711772.800000001</v>
      </c>
      <c r="L12" s="77">
        <f t="shared" si="6"/>
        <v>-1717122.4800000004</v>
      </c>
    </row>
    <row r="13" spans="1:12" ht="15.75" customHeight="1" x14ac:dyDescent="0.35">
      <c r="A13" s="64" t="s">
        <v>17</v>
      </c>
      <c r="B13" s="78">
        <v>59588</v>
      </c>
      <c r="C13" s="78">
        <v>61833</v>
      </c>
      <c r="D13" s="79">
        <f t="shared" si="0"/>
        <v>2245</v>
      </c>
      <c r="E13" s="80">
        <f t="shared" si="1"/>
        <v>3.7675370880042962E-2</v>
      </c>
      <c r="F13" s="81">
        <v>224.4</v>
      </c>
      <c r="G13" s="81">
        <v>252.33</v>
      </c>
      <c r="H13" s="82">
        <f t="shared" si="2"/>
        <v>27.930000000000007</v>
      </c>
      <c r="I13" s="80">
        <f t="shared" si="3"/>
        <v>0.12446524064171126</v>
      </c>
      <c r="J13" s="83">
        <f t="shared" si="4"/>
        <v>160458566.40000001</v>
      </c>
      <c r="K13" s="83">
        <f t="shared" si="5"/>
        <v>187227850.68000001</v>
      </c>
      <c r="L13" s="76">
        <f t="shared" si="6"/>
        <v>26769284.280000001</v>
      </c>
    </row>
    <row r="14" spans="1:12" ht="15.75" customHeight="1" x14ac:dyDescent="0.35">
      <c r="A14" s="75" t="s">
        <v>18</v>
      </c>
      <c r="B14" s="84">
        <v>530</v>
      </c>
      <c r="C14" s="84">
        <v>616</v>
      </c>
      <c r="D14" s="85">
        <f t="shared" si="0"/>
        <v>86</v>
      </c>
      <c r="E14" s="86">
        <f t="shared" si="1"/>
        <v>0.16226415094339622</v>
      </c>
      <c r="F14" s="87">
        <v>68.19</v>
      </c>
      <c r="G14" s="87">
        <v>68.41</v>
      </c>
      <c r="H14" s="88">
        <f t="shared" si="2"/>
        <v>0.21999999999999886</v>
      </c>
      <c r="I14" s="86">
        <f t="shared" si="3"/>
        <v>3.2262795131250753E-3</v>
      </c>
      <c r="J14" s="89">
        <f t="shared" si="4"/>
        <v>433688.39999999997</v>
      </c>
      <c r="K14" s="89">
        <f t="shared" si="5"/>
        <v>505686.72</v>
      </c>
      <c r="L14" s="77">
        <f t="shared" si="6"/>
        <v>71998.320000000007</v>
      </c>
    </row>
    <row r="15" spans="1:12" ht="15.75" customHeight="1" x14ac:dyDescent="0.35">
      <c r="A15" s="9" t="s">
        <v>19</v>
      </c>
      <c r="B15" s="78">
        <v>4374</v>
      </c>
      <c r="C15" s="78">
        <v>4707</v>
      </c>
      <c r="D15" s="79">
        <f t="shared" si="0"/>
        <v>333</v>
      </c>
      <c r="E15" s="80">
        <f t="shared" si="1"/>
        <v>7.6131687242798354E-2</v>
      </c>
      <c r="F15" s="81">
        <v>165.45</v>
      </c>
      <c r="G15" s="81">
        <v>175.64</v>
      </c>
      <c r="H15" s="82">
        <f t="shared" si="2"/>
        <v>10.189999999999998</v>
      </c>
      <c r="I15" s="80">
        <f t="shared" si="3"/>
        <v>6.1589604110003013E-2</v>
      </c>
      <c r="J15" s="83">
        <f t="shared" si="4"/>
        <v>8684139.5999999996</v>
      </c>
      <c r="K15" s="83">
        <f t="shared" si="5"/>
        <v>9920849.7599999998</v>
      </c>
      <c r="L15" s="76">
        <f t="shared" si="6"/>
        <v>1236710.1600000001</v>
      </c>
    </row>
    <row r="16" spans="1:12" ht="15.75" customHeight="1" x14ac:dyDescent="0.35">
      <c r="A16" s="9" t="s">
        <v>20</v>
      </c>
      <c r="B16" s="78">
        <v>9568</v>
      </c>
      <c r="C16" s="78">
        <v>9616</v>
      </c>
      <c r="D16" s="79">
        <f t="shared" si="0"/>
        <v>48</v>
      </c>
      <c r="E16" s="80">
        <f t="shared" si="1"/>
        <v>5.016722408026756E-3</v>
      </c>
      <c r="F16" s="81">
        <v>47.5</v>
      </c>
      <c r="G16" s="81">
        <v>55.4</v>
      </c>
      <c r="H16" s="82">
        <f t="shared" si="2"/>
        <v>7.8999999999999986</v>
      </c>
      <c r="I16" s="80">
        <f t="shared" si="3"/>
        <v>0.16631578947368417</v>
      </c>
      <c r="J16" s="83">
        <f t="shared" si="4"/>
        <v>5453760</v>
      </c>
      <c r="K16" s="83">
        <f t="shared" si="5"/>
        <v>6392716.8000000007</v>
      </c>
      <c r="L16" s="76">
        <f t="shared" si="6"/>
        <v>938956.80000000075</v>
      </c>
    </row>
    <row r="17" spans="1:12" ht="15.75" customHeight="1" x14ac:dyDescent="0.35">
      <c r="A17" s="75" t="s">
        <v>21</v>
      </c>
      <c r="B17" s="84">
        <v>4596</v>
      </c>
      <c r="C17" s="84">
        <v>4448</v>
      </c>
      <c r="D17" s="85">
        <f t="shared" si="0"/>
        <v>-148</v>
      </c>
      <c r="E17" s="86">
        <f t="shared" si="1"/>
        <v>-3.2201914708442123E-2</v>
      </c>
      <c r="F17" s="87">
        <v>727.16</v>
      </c>
      <c r="G17" s="87">
        <v>710.49</v>
      </c>
      <c r="H17" s="88">
        <f t="shared" si="2"/>
        <v>-16.669999999999959</v>
      </c>
      <c r="I17" s="86">
        <f t="shared" si="3"/>
        <v>-2.2924803344518345E-2</v>
      </c>
      <c r="J17" s="89">
        <f t="shared" si="4"/>
        <v>40104328.32</v>
      </c>
      <c r="K17" s="89">
        <f t="shared" si="5"/>
        <v>37923114.240000002</v>
      </c>
      <c r="L17" s="77">
        <f t="shared" si="6"/>
        <v>-2181214.0799999982</v>
      </c>
    </row>
    <row r="18" spans="1:12" ht="18" customHeight="1" x14ac:dyDescent="0.35">
      <c r="A18" s="21" t="s">
        <v>39</v>
      </c>
      <c r="B18" s="22">
        <f>SUM(B5:B17)</f>
        <v>191656</v>
      </c>
      <c r="C18" s="22">
        <f>SUM(C5:C17)</f>
        <v>211764</v>
      </c>
      <c r="D18" s="26">
        <f>SUM(D5:D17)</f>
        <v>20108</v>
      </c>
      <c r="E18" s="27" t="s">
        <v>23</v>
      </c>
      <c r="F18" s="27" t="s">
        <v>23</v>
      </c>
      <c r="G18" s="27" t="s">
        <v>23</v>
      </c>
      <c r="H18" s="27" t="s">
        <v>23</v>
      </c>
      <c r="I18" s="27" t="s">
        <v>23</v>
      </c>
      <c r="J18" s="25">
        <f>SUM(J5:J17)</f>
        <v>726917592.3599999</v>
      </c>
      <c r="K18" s="25">
        <f>SUM(K5:K17)</f>
        <v>833970165.24000001</v>
      </c>
      <c r="L18" s="28">
        <f>SUM(L5:L17)</f>
        <v>107052572.88000003</v>
      </c>
    </row>
    <row r="19" spans="1:12" x14ac:dyDescent="0.35">
      <c r="A19" s="57" t="s">
        <v>162</v>
      </c>
    </row>
  </sheetData>
  <mergeCells count="3">
    <mergeCell ref="A1:L1"/>
    <mergeCell ref="A2:L2"/>
    <mergeCell ref="A3:L3"/>
  </mergeCells>
  <conditionalFormatting sqref="L5:L17">
    <cfRule type="cellIs" dxfId="1" priority="1" operator="lessThan">
      <formula>0</formula>
    </cfRule>
    <cfRule type="cellIs" dxfId="0" priority="2"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3"/>
  <sheetViews>
    <sheetView showGridLines="0" tabSelected="1" topLeftCell="B1" zoomScale="85" zoomScaleNormal="85" workbookViewId="0">
      <selection activeCell="G12" sqref="G12"/>
    </sheetView>
  </sheetViews>
  <sheetFormatPr defaultColWidth="8.6328125" defaultRowHeight="14.5" x14ac:dyDescent="0.35"/>
  <cols>
    <col min="1" max="1" width="28" customWidth="1"/>
    <col min="2" max="2" width="18" customWidth="1"/>
    <col min="3" max="5" width="16" customWidth="1"/>
    <col min="6" max="6" width="12" customWidth="1"/>
    <col min="7" max="7" width="66.36328125" style="29" customWidth="1"/>
    <col min="8" max="8" width="81.6328125" style="29" customWidth="1"/>
  </cols>
  <sheetData>
    <row r="1" spans="1:8" ht="27.75" customHeight="1" x14ac:dyDescent="0.35">
      <c r="A1" s="41" t="s">
        <v>40</v>
      </c>
      <c r="B1" s="41"/>
      <c r="C1" s="41"/>
      <c r="D1" s="41"/>
      <c r="E1" s="41"/>
      <c r="F1" s="41"/>
      <c r="G1" s="41"/>
      <c r="H1" s="41"/>
    </row>
    <row r="2" spans="1:8" ht="15.75" customHeight="1" x14ac:dyDescent="0.35">
      <c r="A2" s="70" t="s">
        <v>41</v>
      </c>
      <c r="B2" s="70"/>
      <c r="C2" s="70"/>
      <c r="D2" s="70"/>
      <c r="E2" s="70"/>
      <c r="F2" s="70"/>
      <c r="G2" s="70"/>
      <c r="H2" s="70"/>
    </row>
    <row r="3" spans="1:8" ht="37" customHeight="1" x14ac:dyDescent="0.35">
      <c r="A3" s="69" t="s">
        <v>42</v>
      </c>
      <c r="B3" s="69"/>
      <c r="C3" s="69"/>
      <c r="D3" s="69"/>
      <c r="E3" s="69"/>
      <c r="F3" s="69"/>
      <c r="G3" s="69"/>
      <c r="H3" s="69"/>
    </row>
    <row r="4" spans="1:8" s="40" customFormat="1" ht="19.5" customHeight="1" x14ac:dyDescent="0.35">
      <c r="A4" s="71" t="s">
        <v>27</v>
      </c>
      <c r="B4" s="72" t="s">
        <v>43</v>
      </c>
      <c r="C4" s="73" t="s">
        <v>44</v>
      </c>
      <c r="D4" s="73" t="s">
        <v>45</v>
      </c>
      <c r="E4" s="73" t="s">
        <v>46</v>
      </c>
      <c r="F4" s="72" t="s">
        <v>47</v>
      </c>
      <c r="G4" s="74" t="s">
        <v>48</v>
      </c>
      <c r="H4" s="74" t="s">
        <v>49</v>
      </c>
    </row>
    <row r="5" spans="1:8" s="40" customFormat="1" ht="66.5" customHeight="1" x14ac:dyDescent="0.35">
      <c r="A5" s="42" t="s">
        <v>9</v>
      </c>
      <c r="B5" s="43" t="s">
        <v>50</v>
      </c>
      <c r="C5" s="43">
        <v>6475</v>
      </c>
      <c r="D5" s="43">
        <v>6117</v>
      </c>
      <c r="E5" s="43">
        <v>-358</v>
      </c>
      <c r="F5" s="43" t="s">
        <v>51</v>
      </c>
      <c r="G5" s="44" t="s">
        <v>52</v>
      </c>
      <c r="H5" s="95" t="s">
        <v>156</v>
      </c>
    </row>
    <row r="6" spans="1:8" s="40" customFormat="1" ht="60" customHeight="1" x14ac:dyDescent="0.35">
      <c r="A6" s="45" t="s">
        <v>9</v>
      </c>
      <c r="B6" s="46" t="s">
        <v>53</v>
      </c>
      <c r="C6" s="46" t="s">
        <v>54</v>
      </c>
      <c r="D6" s="46" t="s">
        <v>55</v>
      </c>
      <c r="E6" s="90" t="s">
        <v>56</v>
      </c>
      <c r="F6" s="46" t="s">
        <v>57</v>
      </c>
      <c r="G6" s="47" t="s">
        <v>58</v>
      </c>
      <c r="H6" s="96" t="s">
        <v>157</v>
      </c>
    </row>
    <row r="7" spans="1:8" s="40" customFormat="1" ht="60" customHeight="1" x14ac:dyDescent="0.35">
      <c r="A7" s="45" t="s">
        <v>10</v>
      </c>
      <c r="B7" s="46" t="s">
        <v>50</v>
      </c>
      <c r="C7" s="46">
        <v>17649</v>
      </c>
      <c r="D7" s="46">
        <v>18307</v>
      </c>
      <c r="E7" s="90">
        <v>658</v>
      </c>
      <c r="F7" s="46" t="s">
        <v>59</v>
      </c>
      <c r="G7" s="47" t="s">
        <v>60</v>
      </c>
      <c r="H7" s="96" t="s">
        <v>156</v>
      </c>
    </row>
    <row r="8" spans="1:8" s="40" customFormat="1" ht="60" customHeight="1" x14ac:dyDescent="0.35">
      <c r="A8" s="42" t="s">
        <v>10</v>
      </c>
      <c r="B8" s="43" t="s">
        <v>53</v>
      </c>
      <c r="C8" s="43" t="s">
        <v>61</v>
      </c>
      <c r="D8" s="43" t="s">
        <v>62</v>
      </c>
      <c r="E8" s="91" t="s">
        <v>63</v>
      </c>
      <c r="F8" s="43" t="s">
        <v>64</v>
      </c>
      <c r="G8" s="44" t="s">
        <v>65</v>
      </c>
      <c r="H8" s="95" t="s">
        <v>157</v>
      </c>
    </row>
    <row r="9" spans="1:8" s="40" customFormat="1" ht="69.5" customHeight="1" x14ac:dyDescent="0.35">
      <c r="A9" s="45" t="s">
        <v>11</v>
      </c>
      <c r="B9" s="46" t="s">
        <v>50</v>
      </c>
      <c r="C9" s="46">
        <v>10049</v>
      </c>
      <c r="D9" s="46">
        <v>16159</v>
      </c>
      <c r="E9" s="90">
        <v>6110</v>
      </c>
      <c r="F9" s="46" t="s">
        <v>66</v>
      </c>
      <c r="G9" s="47" t="s">
        <v>67</v>
      </c>
      <c r="H9" s="96" t="s">
        <v>156</v>
      </c>
    </row>
    <row r="10" spans="1:8" s="40" customFormat="1" ht="60" customHeight="1" x14ac:dyDescent="0.35">
      <c r="A10" s="42" t="s">
        <v>11</v>
      </c>
      <c r="B10" s="43" t="s">
        <v>53</v>
      </c>
      <c r="C10" s="43" t="s">
        <v>68</v>
      </c>
      <c r="D10" s="43" t="s">
        <v>69</v>
      </c>
      <c r="E10" s="43" t="s">
        <v>70</v>
      </c>
      <c r="F10" s="43" t="s">
        <v>71</v>
      </c>
      <c r="G10" s="44" t="s">
        <v>72</v>
      </c>
      <c r="H10" s="95" t="s">
        <v>157</v>
      </c>
    </row>
    <row r="11" spans="1:8" s="40" customFormat="1" ht="60" customHeight="1" x14ac:dyDescent="0.35">
      <c r="A11" s="48" t="s">
        <v>12</v>
      </c>
      <c r="B11" s="46" t="s">
        <v>50</v>
      </c>
      <c r="C11" s="46">
        <v>35802</v>
      </c>
      <c r="D11" s="46">
        <v>47805</v>
      </c>
      <c r="E11" s="46">
        <v>12003</v>
      </c>
      <c r="F11" s="46" t="s">
        <v>73</v>
      </c>
      <c r="G11" s="47" t="s">
        <v>74</v>
      </c>
      <c r="H11" s="96" t="s">
        <v>156</v>
      </c>
    </row>
    <row r="12" spans="1:8" s="40" customFormat="1" ht="60" customHeight="1" x14ac:dyDescent="0.35">
      <c r="A12" s="62" t="s">
        <v>12</v>
      </c>
      <c r="B12" s="49" t="s">
        <v>53</v>
      </c>
      <c r="C12" s="92" t="s">
        <v>75</v>
      </c>
      <c r="D12" s="92" t="s">
        <v>76</v>
      </c>
      <c r="E12" s="92" t="s">
        <v>77</v>
      </c>
      <c r="F12" s="92" t="s">
        <v>78</v>
      </c>
      <c r="G12" s="50" t="s">
        <v>79</v>
      </c>
      <c r="H12" s="50" t="s">
        <v>157</v>
      </c>
    </row>
    <row r="13" spans="1:8" s="40" customFormat="1" ht="47" customHeight="1" x14ac:dyDescent="0.35">
      <c r="A13" s="58" t="s">
        <v>13</v>
      </c>
      <c r="B13" s="51" t="s">
        <v>50</v>
      </c>
      <c r="C13" s="93">
        <v>22258</v>
      </c>
      <c r="D13" s="93">
        <v>25109</v>
      </c>
      <c r="E13" s="93">
        <v>2851</v>
      </c>
      <c r="F13" s="93" t="s">
        <v>80</v>
      </c>
      <c r="G13" s="52" t="s">
        <v>81</v>
      </c>
      <c r="H13" s="52" t="s">
        <v>156</v>
      </c>
    </row>
    <row r="14" spans="1:8" s="40" customFormat="1" ht="65.5" customHeight="1" x14ac:dyDescent="0.35">
      <c r="A14" s="63" t="s">
        <v>13</v>
      </c>
      <c r="B14" s="51" t="s">
        <v>53</v>
      </c>
      <c r="C14" s="93" t="s">
        <v>82</v>
      </c>
      <c r="D14" s="93" t="s">
        <v>83</v>
      </c>
      <c r="E14" s="93" t="s">
        <v>84</v>
      </c>
      <c r="F14" s="93" t="s">
        <v>85</v>
      </c>
      <c r="G14" s="52" t="s">
        <v>86</v>
      </c>
      <c r="H14" s="52" t="s">
        <v>157</v>
      </c>
    </row>
    <row r="15" spans="1:8" s="40" customFormat="1" ht="96" customHeight="1" x14ac:dyDescent="0.35">
      <c r="A15" s="49" t="s">
        <v>14</v>
      </c>
      <c r="B15" s="49" t="s">
        <v>50</v>
      </c>
      <c r="C15" s="92">
        <v>15937</v>
      </c>
      <c r="D15" s="92">
        <v>12471</v>
      </c>
      <c r="E15" s="92">
        <v>-3466</v>
      </c>
      <c r="F15" s="92" t="s">
        <v>87</v>
      </c>
      <c r="G15" s="50" t="s">
        <v>88</v>
      </c>
      <c r="H15" s="50" t="s">
        <v>156</v>
      </c>
    </row>
    <row r="16" spans="1:8" s="40" customFormat="1" ht="61" customHeight="1" x14ac:dyDescent="0.35">
      <c r="A16" s="51" t="s">
        <v>14</v>
      </c>
      <c r="B16" s="51" t="s">
        <v>53</v>
      </c>
      <c r="C16" s="93" t="s">
        <v>89</v>
      </c>
      <c r="D16" s="93" t="s">
        <v>90</v>
      </c>
      <c r="E16" s="93" t="s">
        <v>91</v>
      </c>
      <c r="F16" s="93" t="s">
        <v>92</v>
      </c>
      <c r="G16" s="52" t="s">
        <v>93</v>
      </c>
      <c r="H16" s="52" t="s">
        <v>157</v>
      </c>
    </row>
    <row r="17" spans="1:8" s="40" customFormat="1" ht="66.5" customHeight="1" x14ac:dyDescent="0.35">
      <c r="A17" s="49" t="s">
        <v>15</v>
      </c>
      <c r="B17" s="49" t="s">
        <v>50</v>
      </c>
      <c r="C17" s="92">
        <v>3236</v>
      </c>
      <c r="D17" s="92">
        <v>3041</v>
      </c>
      <c r="E17" s="92">
        <v>-195</v>
      </c>
      <c r="F17" s="92" t="s">
        <v>94</v>
      </c>
      <c r="G17" s="50" t="s">
        <v>95</v>
      </c>
      <c r="H17" s="50" t="s">
        <v>156</v>
      </c>
    </row>
    <row r="18" spans="1:8" s="40" customFormat="1" ht="66.5" customHeight="1" x14ac:dyDescent="0.35">
      <c r="A18" s="49" t="s">
        <v>15</v>
      </c>
      <c r="B18" s="49" t="s">
        <v>53</v>
      </c>
      <c r="C18" s="92" t="s">
        <v>96</v>
      </c>
      <c r="D18" s="92" t="s">
        <v>97</v>
      </c>
      <c r="E18" s="92" t="s">
        <v>98</v>
      </c>
      <c r="F18" s="92" t="s">
        <v>99</v>
      </c>
      <c r="G18" s="50" t="s">
        <v>100</v>
      </c>
      <c r="H18" s="50" t="s">
        <v>157</v>
      </c>
    </row>
    <row r="19" spans="1:8" s="40" customFormat="1" ht="57.5" customHeight="1" x14ac:dyDescent="0.35">
      <c r="A19" s="49" t="s">
        <v>16</v>
      </c>
      <c r="B19" s="49" t="s">
        <v>50</v>
      </c>
      <c r="C19" s="92">
        <v>1594</v>
      </c>
      <c r="D19" s="92">
        <v>1535</v>
      </c>
      <c r="E19" s="92">
        <v>-59</v>
      </c>
      <c r="F19" s="92" t="s">
        <v>101</v>
      </c>
      <c r="G19" s="50" t="s">
        <v>102</v>
      </c>
      <c r="H19" s="50" t="s">
        <v>156</v>
      </c>
    </row>
    <row r="20" spans="1:8" s="40" customFormat="1" ht="74.5" customHeight="1" x14ac:dyDescent="0.35">
      <c r="A20" s="49" t="s">
        <v>16</v>
      </c>
      <c r="B20" s="49" t="s">
        <v>53</v>
      </c>
      <c r="C20" s="92" t="s">
        <v>103</v>
      </c>
      <c r="D20" s="92" t="s">
        <v>104</v>
      </c>
      <c r="E20" s="92" t="s">
        <v>105</v>
      </c>
      <c r="F20" s="92" t="s">
        <v>106</v>
      </c>
      <c r="G20" s="50" t="s">
        <v>107</v>
      </c>
      <c r="H20" s="50" t="s">
        <v>157</v>
      </c>
    </row>
    <row r="21" spans="1:8" s="40" customFormat="1" ht="72" customHeight="1" x14ac:dyDescent="0.35">
      <c r="A21" s="63" t="s">
        <v>17</v>
      </c>
      <c r="B21" s="51" t="s">
        <v>50</v>
      </c>
      <c r="C21" s="93">
        <v>59588</v>
      </c>
      <c r="D21" s="93">
        <v>61833</v>
      </c>
      <c r="E21" s="93">
        <v>2245</v>
      </c>
      <c r="F21" s="93" t="s">
        <v>108</v>
      </c>
      <c r="G21" s="52" t="s">
        <v>109</v>
      </c>
      <c r="H21" s="52" t="s">
        <v>156</v>
      </c>
    </row>
    <row r="22" spans="1:8" s="40" customFormat="1" ht="62" customHeight="1" x14ac:dyDescent="0.35">
      <c r="A22" s="63" t="s">
        <v>17</v>
      </c>
      <c r="B22" s="51" t="s">
        <v>53</v>
      </c>
      <c r="C22" s="93" t="s">
        <v>110</v>
      </c>
      <c r="D22" s="93" t="s">
        <v>111</v>
      </c>
      <c r="E22" s="93" t="s">
        <v>112</v>
      </c>
      <c r="F22" s="93" t="s">
        <v>113</v>
      </c>
      <c r="G22" s="52" t="s">
        <v>114</v>
      </c>
      <c r="H22" s="52" t="s">
        <v>157</v>
      </c>
    </row>
    <row r="23" spans="1:8" s="40" customFormat="1" ht="84" customHeight="1" x14ac:dyDescent="0.35">
      <c r="A23" s="51" t="s">
        <v>18</v>
      </c>
      <c r="B23" s="51" t="s">
        <v>50</v>
      </c>
      <c r="C23" s="93">
        <v>530</v>
      </c>
      <c r="D23" s="93">
        <v>616</v>
      </c>
      <c r="E23" s="93">
        <v>86</v>
      </c>
      <c r="F23" s="93" t="s">
        <v>115</v>
      </c>
      <c r="G23" s="52" t="s">
        <v>116</v>
      </c>
      <c r="H23" s="52" t="s">
        <v>158</v>
      </c>
    </row>
    <row r="24" spans="1:8" s="40" customFormat="1" ht="45.5" customHeight="1" x14ac:dyDescent="0.35">
      <c r="A24" s="51" t="s">
        <v>19</v>
      </c>
      <c r="B24" s="51" t="s">
        <v>50</v>
      </c>
      <c r="C24" s="93">
        <v>4374</v>
      </c>
      <c r="D24" s="93">
        <v>4707</v>
      </c>
      <c r="E24" s="93">
        <v>333</v>
      </c>
      <c r="F24" s="93" t="s">
        <v>117</v>
      </c>
      <c r="G24" s="52" t="s">
        <v>118</v>
      </c>
      <c r="H24" s="52" t="s">
        <v>156</v>
      </c>
    </row>
    <row r="25" spans="1:8" s="40" customFormat="1" ht="58.5" customHeight="1" x14ac:dyDescent="0.35">
      <c r="A25" s="51" t="s">
        <v>19</v>
      </c>
      <c r="B25" s="51" t="s">
        <v>53</v>
      </c>
      <c r="C25" s="93" t="s">
        <v>119</v>
      </c>
      <c r="D25" s="93" t="s">
        <v>120</v>
      </c>
      <c r="E25" s="93" t="s">
        <v>121</v>
      </c>
      <c r="F25" s="93" t="s">
        <v>122</v>
      </c>
      <c r="G25" s="52" t="s">
        <v>123</v>
      </c>
      <c r="H25" s="52" t="s">
        <v>157</v>
      </c>
    </row>
    <row r="26" spans="1:8" s="40" customFormat="1" ht="95.5" customHeight="1" x14ac:dyDescent="0.35">
      <c r="A26" s="51" t="s">
        <v>20</v>
      </c>
      <c r="B26" s="51" t="s">
        <v>53</v>
      </c>
      <c r="C26" s="93" t="s">
        <v>124</v>
      </c>
      <c r="D26" s="93" t="s">
        <v>125</v>
      </c>
      <c r="E26" s="93" t="s">
        <v>126</v>
      </c>
      <c r="F26" s="93" t="s">
        <v>127</v>
      </c>
      <c r="G26" s="52" t="s">
        <v>128</v>
      </c>
      <c r="H26" s="52" t="s">
        <v>159</v>
      </c>
    </row>
    <row r="27" spans="1:8" s="40" customFormat="1" ht="94.5" customHeight="1" x14ac:dyDescent="0.35">
      <c r="A27" s="49" t="s">
        <v>21</v>
      </c>
      <c r="B27" s="49" t="s">
        <v>50</v>
      </c>
      <c r="C27" s="92">
        <v>4596</v>
      </c>
      <c r="D27" s="92">
        <v>4448</v>
      </c>
      <c r="E27" s="92">
        <v>-148</v>
      </c>
      <c r="F27" s="92" t="s">
        <v>129</v>
      </c>
      <c r="G27" s="50" t="s">
        <v>130</v>
      </c>
      <c r="H27" s="50" t="s">
        <v>156</v>
      </c>
    </row>
    <row r="28" spans="1:8" s="40" customFormat="1" ht="42.5" customHeight="1" x14ac:dyDescent="0.35">
      <c r="A28" s="49" t="s">
        <v>21</v>
      </c>
      <c r="B28" s="49" t="s">
        <v>53</v>
      </c>
      <c r="C28" s="92" t="s">
        <v>131</v>
      </c>
      <c r="D28" s="92" t="s">
        <v>132</v>
      </c>
      <c r="E28" s="92" t="s">
        <v>133</v>
      </c>
      <c r="F28" s="92" t="s">
        <v>134</v>
      </c>
      <c r="G28" s="50" t="s">
        <v>135</v>
      </c>
      <c r="H28" s="50" t="s">
        <v>160</v>
      </c>
    </row>
    <row r="29" spans="1:8" ht="30.5" customHeight="1" x14ac:dyDescent="0.35">
      <c r="A29" s="66" t="s">
        <v>136</v>
      </c>
      <c r="B29" s="67"/>
      <c r="C29" s="67"/>
      <c r="D29" s="67"/>
      <c r="E29" s="67"/>
      <c r="F29" s="67"/>
      <c r="G29" s="67"/>
      <c r="H29" s="68"/>
    </row>
    <row r="30" spans="1:8" ht="14" customHeight="1" x14ac:dyDescent="0.35">
      <c r="A30" s="94" t="s">
        <v>162</v>
      </c>
    </row>
    <row r="31" spans="1:8" x14ac:dyDescent="0.35">
      <c r="A31" s="53"/>
      <c r="B31" s="53"/>
      <c r="C31" s="53"/>
      <c r="D31" s="53"/>
      <c r="E31" s="53"/>
      <c r="F31" s="53"/>
      <c r="G31" s="54"/>
      <c r="H31" s="54"/>
    </row>
    <row r="32" spans="1:8" x14ac:dyDescent="0.35">
      <c r="A32" s="65"/>
      <c r="B32" s="55"/>
      <c r="C32" s="55"/>
      <c r="D32" s="55"/>
      <c r="E32" s="55"/>
      <c r="F32" s="55"/>
      <c r="G32" s="56"/>
      <c r="H32" s="56"/>
    </row>
    <row r="33" spans="1:8" x14ac:dyDescent="0.35">
      <c r="A33" s="55"/>
      <c r="B33" s="55"/>
      <c r="C33" s="55"/>
      <c r="D33" s="55"/>
      <c r="E33" s="55"/>
      <c r="F33" s="55"/>
      <c r="G33" s="56"/>
      <c r="H33" s="56"/>
    </row>
  </sheetData>
  <mergeCells count="4">
    <mergeCell ref="A1:H1"/>
    <mergeCell ref="A2:H2"/>
    <mergeCell ref="A3:H3"/>
    <mergeCell ref="A29:H29"/>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showGridLines="0" zoomScaleNormal="100" workbookViewId="0">
      <selection activeCell="B23" sqref="B23"/>
    </sheetView>
  </sheetViews>
  <sheetFormatPr defaultColWidth="8.6328125" defaultRowHeight="14.5" x14ac:dyDescent="0.35"/>
  <cols>
    <col min="1" max="1" width="36" customWidth="1"/>
    <col min="2" max="2" width="56.6328125" customWidth="1"/>
    <col min="3" max="3" width="22" customWidth="1"/>
    <col min="4" max="4" width="45" customWidth="1"/>
  </cols>
  <sheetData>
    <row r="1" spans="1:6" ht="27.75" customHeight="1" x14ac:dyDescent="0.35">
      <c r="A1" s="7" t="s">
        <v>137</v>
      </c>
      <c r="B1" s="7"/>
      <c r="C1" s="7"/>
      <c r="D1" s="7"/>
      <c r="E1" s="7"/>
      <c r="F1" s="7"/>
    </row>
    <row r="2" spans="1:6" ht="15.75" customHeight="1" x14ac:dyDescent="0.35">
      <c r="A2" s="6" t="s">
        <v>138</v>
      </c>
      <c r="B2" s="6"/>
      <c r="C2" s="6"/>
      <c r="D2" s="6"/>
      <c r="E2" s="6"/>
      <c r="F2" s="6"/>
    </row>
    <row r="3" spans="1:6" ht="19.5" customHeight="1" x14ac:dyDescent="0.35">
      <c r="A3" s="5" t="s">
        <v>139</v>
      </c>
      <c r="B3" s="5"/>
      <c r="C3" s="5"/>
      <c r="D3" s="5"/>
    </row>
    <row r="4" spans="1:6" ht="18" customHeight="1" x14ac:dyDescent="0.35">
      <c r="A4" s="30" t="s">
        <v>140</v>
      </c>
      <c r="B4" s="30" t="s">
        <v>141</v>
      </c>
      <c r="C4" s="30" t="s">
        <v>142</v>
      </c>
      <c r="D4" s="30" t="s">
        <v>46</v>
      </c>
    </row>
    <row r="5" spans="1:6" ht="18" customHeight="1" x14ac:dyDescent="0.35">
      <c r="A5" s="31" t="s">
        <v>143</v>
      </c>
      <c r="B5" s="32">
        <f>COUNTA('Reconciliation Report'!A5:A17)</f>
        <v>13</v>
      </c>
      <c r="C5" s="32">
        <f>COUNTA('Reconciliation Report'!A5:A17)</f>
        <v>13</v>
      </c>
      <c r="D5" s="33" t="s">
        <v>23</v>
      </c>
    </row>
    <row r="6" spans="1:6" ht="18" customHeight="1" x14ac:dyDescent="0.35">
      <c r="A6" s="31" t="s">
        <v>144</v>
      </c>
      <c r="B6" s="10">
        <f>'Reconciliation Report'!B18</f>
        <v>191656</v>
      </c>
      <c r="C6" s="10">
        <f>'Reconciliation Report'!C18</f>
        <v>211764</v>
      </c>
      <c r="D6" s="34">
        <f t="shared" ref="D6:D11" si="0">C6-B6</f>
        <v>20108</v>
      </c>
    </row>
    <row r="7" spans="1:6" ht="18" customHeight="1" x14ac:dyDescent="0.35">
      <c r="A7" s="31" t="s">
        <v>145</v>
      </c>
      <c r="B7" s="35">
        <f>'Reconciliation Report'!J18</f>
        <v>726917592.3599999</v>
      </c>
      <c r="C7" s="35">
        <f>'Reconciliation Report'!K18</f>
        <v>833970165.24000001</v>
      </c>
      <c r="D7" s="33">
        <f t="shared" si="0"/>
        <v>107052572.88000011</v>
      </c>
    </row>
    <row r="8" spans="1:6" ht="18" customHeight="1" x14ac:dyDescent="0.35">
      <c r="A8" s="31" t="s">
        <v>146</v>
      </c>
      <c r="B8" s="32">
        <f>B5</f>
        <v>13</v>
      </c>
      <c r="C8" s="32">
        <f>COUNTIFS('Reconciliation Report'!E5:E17,"&lt;=0.01",'Reconciliation Report'!E5:E17,"&gt;=-0.01",'Reconciliation Report'!I5:I17,"&lt;=0.01",'Reconciliation Report'!I5:I17,"&gt;=-0.01")</f>
        <v>0</v>
      </c>
      <c r="D8" s="33">
        <f t="shared" si="0"/>
        <v>-13</v>
      </c>
    </row>
    <row r="9" spans="1:6" ht="18" customHeight="1" x14ac:dyDescent="0.35">
      <c r="A9" s="31" t="s">
        <v>147</v>
      </c>
      <c r="B9" s="32">
        <v>0</v>
      </c>
      <c r="C9" s="32">
        <f>C5-C8</f>
        <v>13</v>
      </c>
      <c r="D9" s="33">
        <f t="shared" si="0"/>
        <v>13</v>
      </c>
    </row>
    <row r="10" spans="1:6" ht="18" customHeight="1" x14ac:dyDescent="0.35">
      <c r="A10" s="31" t="s">
        <v>148</v>
      </c>
      <c r="B10" s="32">
        <v>0</v>
      </c>
      <c r="C10" s="32">
        <f>SUMPRODUCT((ABS('Reconciliation Report'!E5:E17)&gt;0.02)+(ABS('Reconciliation Report'!I5:I17)&gt;0.02)&gt;0)</f>
        <v>0</v>
      </c>
      <c r="D10" s="36">
        <f t="shared" si="0"/>
        <v>0</v>
      </c>
    </row>
    <row r="11" spans="1:6" ht="18" customHeight="1" x14ac:dyDescent="0.35">
      <c r="A11" s="31" t="s">
        <v>149</v>
      </c>
      <c r="B11" s="32">
        <v>0</v>
      </c>
      <c r="C11" s="32">
        <f>COUNTIF('Findings &amp; Resolution Log'!H5:H28,"RESOLVED*")</f>
        <v>0</v>
      </c>
      <c r="D11" s="37">
        <f t="shared" si="0"/>
        <v>0</v>
      </c>
    </row>
    <row r="13" spans="1:6" ht="19.5" customHeight="1" x14ac:dyDescent="0.35">
      <c r="A13" s="4" t="s">
        <v>150</v>
      </c>
      <c r="B13" s="4"/>
      <c r="C13" s="4"/>
      <c r="D13" s="4"/>
    </row>
    <row r="14" spans="1:6" ht="30" customHeight="1" x14ac:dyDescent="0.35">
      <c r="A14" s="38" t="s">
        <v>12</v>
      </c>
      <c r="B14" s="39" t="s">
        <v>151</v>
      </c>
      <c r="C14" s="3" t="s">
        <v>152</v>
      </c>
      <c r="D14" s="3"/>
    </row>
    <row r="15" spans="1:6" ht="30" customHeight="1" x14ac:dyDescent="0.35">
      <c r="A15" s="38" t="s">
        <v>17</v>
      </c>
      <c r="B15" s="39" t="s">
        <v>153</v>
      </c>
      <c r="C15" s="3" t="s">
        <v>152</v>
      </c>
      <c r="D15" s="3"/>
    </row>
    <row r="16" spans="1:6" ht="14.25" customHeight="1" x14ac:dyDescent="0.35">
      <c r="A16" s="60" t="s">
        <v>13</v>
      </c>
      <c r="B16" s="61" t="s">
        <v>154</v>
      </c>
      <c r="C16" s="59" t="s">
        <v>152</v>
      </c>
      <c r="D16" s="59"/>
    </row>
    <row r="17" spans="1:4" ht="49.5" customHeight="1" x14ac:dyDescent="0.35">
      <c r="A17" s="2" t="s">
        <v>155</v>
      </c>
      <c r="B17" s="2"/>
      <c r="C17" s="2"/>
      <c r="D17" s="2"/>
    </row>
  </sheetData>
  <mergeCells count="7">
    <mergeCell ref="C15:D15"/>
    <mergeCell ref="A17:D17"/>
    <mergeCell ref="A1:F1"/>
    <mergeCell ref="A2:F2"/>
    <mergeCell ref="A3:D3"/>
    <mergeCell ref="A13:D13"/>
    <mergeCell ref="C14:D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SFY2022 Budget Reference</vt:lpstr>
      <vt:lpstr>Reconciliation Report</vt:lpstr>
      <vt:lpstr>Findings &amp; Resolution Log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graham pinti</cp:lastModifiedBy>
  <cp:revision>0</cp:revision>
  <dcterms:created xsi:type="dcterms:W3CDTF">2026-04-03T04:01:33Z</dcterms:created>
  <dcterms:modified xsi:type="dcterms:W3CDTF">2026-06-29T00:07:16Z</dcterms:modified>
  <dc:language>en-US</dc:language>
</cp:coreProperties>
</file>